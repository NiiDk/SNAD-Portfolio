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low High\Basic 9\"/>
    </mc:Choice>
  </mc:AlternateContent>
  <xr:revisionPtr revIDLastSave="0" documentId="13_ncr:1_{D37F651F-FDC8-4479-8249-A58435BDEC7A}" xr6:coauthVersionLast="47" xr6:coauthVersionMax="47" xr10:uidLastSave="{00000000-0000-0000-0000-000000000000}"/>
  <bookViews>
    <workbookView xWindow="-120" yWindow="-120" windowWidth="20730" windowHeight="11040" tabRatio="881" activeTab="9" xr2:uid="{00000000-000D-0000-FFFF-FFFF00000000}"/>
  </bookViews>
  <sheets>
    <sheet name="Info List" sheetId="1" r:id="rId1"/>
    <sheet name="ENGLISH" sheetId="2" r:id="rId2"/>
    <sheet name="MATHS" sheetId="11" r:id="rId3"/>
    <sheet name="SCIENCE" sheetId="9" r:id="rId4"/>
    <sheet name="SOCIAL" sheetId="10" r:id="rId5"/>
    <sheet name="R.M.E" sheetId="8" r:id="rId6"/>
    <sheet name="COMPUTING" sheetId="6" r:id="rId7"/>
    <sheet name="CAD" sheetId="14" r:id="rId8"/>
    <sheet name="CAREER" sheetId="7" r:id="rId9"/>
    <sheet name="FANTE" sheetId="5" r:id="rId10"/>
    <sheet name="GRADING SYSTEM" sheetId="3" r:id="rId11"/>
    <sheet name="TR ANALYSIS" sheetId="12" r:id="rId12"/>
    <sheet name="Shee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3" i="12" l="1"/>
  <c r="BP4" i="12"/>
  <c r="BP5" i="12"/>
  <c r="BP6" i="12"/>
  <c r="BP7" i="12"/>
  <c r="BP8" i="12"/>
  <c r="BP9" i="12"/>
  <c r="BP10" i="12"/>
  <c r="BP11" i="12"/>
  <c r="BP12" i="12"/>
  <c r="BP13" i="12"/>
  <c r="BP14" i="12"/>
  <c r="BP15" i="12"/>
  <c r="BP16" i="12"/>
  <c r="BP17" i="12"/>
  <c r="BP18" i="12"/>
  <c r="BP19" i="12"/>
  <c r="BP20" i="12"/>
  <c r="BP21" i="12"/>
  <c r="BP22" i="12"/>
  <c r="BP23" i="12"/>
  <c r="BP24" i="12"/>
  <c r="BP25" i="12"/>
  <c r="BP26" i="12"/>
  <c r="BP27" i="12"/>
  <c r="BP28" i="12"/>
  <c r="BP29" i="12"/>
  <c r="BP30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B3" i="12"/>
  <c r="BT3" i="12" s="1"/>
  <c r="B4" i="12"/>
  <c r="BT4" i="12" s="1"/>
  <c r="B5" i="12"/>
  <c r="BT5" i="12" s="1"/>
  <c r="B6" i="12"/>
  <c r="BT6" i="12" s="1"/>
  <c r="B7" i="12"/>
  <c r="BT7" i="12" s="1"/>
  <c r="B8" i="12"/>
  <c r="BT8" i="12" s="1"/>
  <c r="B9" i="12"/>
  <c r="BT9" i="12" s="1"/>
  <c r="B10" i="12"/>
  <c r="BT10" i="12" s="1"/>
  <c r="B11" i="12"/>
  <c r="BT11" i="12" s="1"/>
  <c r="B12" i="12"/>
  <c r="BT12" i="12" s="1"/>
  <c r="B13" i="12"/>
  <c r="BT13" i="12" s="1"/>
  <c r="B14" i="12"/>
  <c r="BT14" i="12" s="1"/>
  <c r="B15" i="12"/>
  <c r="BT15" i="12" s="1"/>
  <c r="B16" i="12"/>
  <c r="BT16" i="12" s="1"/>
  <c r="B17" i="12"/>
  <c r="BT17" i="12" s="1"/>
  <c r="B18" i="12"/>
  <c r="BT18" i="12" s="1"/>
  <c r="B19" i="12"/>
  <c r="BT19" i="12" s="1"/>
  <c r="B20" i="12"/>
  <c r="BT20" i="12" s="1"/>
  <c r="B21" i="12"/>
  <c r="BT21" i="12" s="1"/>
  <c r="B22" i="12"/>
  <c r="BT22" i="12" s="1"/>
  <c r="B23" i="12"/>
  <c r="BT23" i="12" s="1"/>
  <c r="B24" i="12"/>
  <c r="BT24" i="12" s="1"/>
  <c r="B25" i="12"/>
  <c r="BT25" i="12" s="1"/>
  <c r="B26" i="12"/>
  <c r="BT26" i="12" s="1"/>
  <c r="B27" i="12"/>
  <c r="BT27" i="12" s="1"/>
  <c r="B28" i="12"/>
  <c r="BT28" i="12" s="1"/>
  <c r="B29" i="12"/>
  <c r="BT29" i="12" s="1"/>
  <c r="B30" i="12"/>
  <c r="BT30" i="12" s="1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5" i="5"/>
  <c r="B5" i="5"/>
  <c r="C5" i="5"/>
  <c r="A6" i="5"/>
  <c r="B6" i="5"/>
  <c r="C6" i="5"/>
  <c r="A7" i="5"/>
  <c r="B7" i="5"/>
  <c r="C7" i="5"/>
  <c r="A8" i="5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5" i="7"/>
  <c r="B5" i="7"/>
  <c r="C5" i="7"/>
  <c r="A6" i="7"/>
  <c r="B6" i="7"/>
  <c r="C6" i="7"/>
  <c r="A7" i="7"/>
  <c r="B7" i="7"/>
  <c r="C7" i="7"/>
  <c r="A8" i="7"/>
  <c r="B8" i="7"/>
  <c r="C8" i="7"/>
  <c r="A9" i="7"/>
  <c r="B9" i="7"/>
  <c r="C9" i="7"/>
  <c r="A10" i="7"/>
  <c r="B10" i="7"/>
  <c r="C10" i="7"/>
  <c r="A11" i="7"/>
  <c r="B11" i="7"/>
  <c r="C11" i="7"/>
  <c r="A12" i="7"/>
  <c r="B12" i="7"/>
  <c r="C12" i="7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A22" i="7"/>
  <c r="B22" i="7"/>
  <c r="C22" i="7"/>
  <c r="A23" i="7"/>
  <c r="B23" i="7"/>
  <c r="C23" i="7"/>
  <c r="A24" i="7"/>
  <c r="B24" i="7"/>
  <c r="C24" i="7"/>
  <c r="A25" i="7"/>
  <c r="B25" i="7"/>
  <c r="C25" i="7"/>
  <c r="A26" i="7"/>
  <c r="B26" i="7"/>
  <c r="C26" i="7"/>
  <c r="A27" i="7"/>
  <c r="B27" i="7"/>
  <c r="C27" i="7"/>
  <c r="A28" i="7"/>
  <c r="B28" i="7"/>
  <c r="C28" i="7"/>
  <c r="A29" i="7"/>
  <c r="B29" i="7"/>
  <c r="C29" i="7"/>
  <c r="A30" i="7"/>
  <c r="B30" i="7"/>
  <c r="C30" i="7"/>
  <c r="A31" i="7"/>
  <c r="B31" i="7"/>
  <c r="C31" i="7"/>
  <c r="A32" i="7"/>
  <c r="B32" i="7"/>
  <c r="C32" i="7"/>
  <c r="A5" i="14"/>
  <c r="B5" i="14"/>
  <c r="C5" i="14"/>
  <c r="A6" i="14"/>
  <c r="B6" i="14"/>
  <c r="C6" i="14"/>
  <c r="A7" i="14"/>
  <c r="B7" i="14"/>
  <c r="C7" i="14"/>
  <c r="A8" i="14"/>
  <c r="B8" i="14"/>
  <c r="C8" i="14"/>
  <c r="A9" i="14"/>
  <c r="B9" i="14"/>
  <c r="C9" i="14"/>
  <c r="A10" i="14"/>
  <c r="B10" i="14"/>
  <c r="C10" i="14"/>
  <c r="A11" i="14"/>
  <c r="B11" i="14"/>
  <c r="C11" i="14"/>
  <c r="A12" i="14"/>
  <c r="B12" i="14"/>
  <c r="C12" i="14"/>
  <c r="A13" i="14"/>
  <c r="B13" i="14"/>
  <c r="C13" i="14"/>
  <c r="A14" i="14"/>
  <c r="B14" i="14"/>
  <c r="C14" i="14"/>
  <c r="A15" i="14"/>
  <c r="B15" i="14"/>
  <c r="C15" i="14"/>
  <c r="A16" i="14"/>
  <c r="B16" i="14"/>
  <c r="C16" i="14"/>
  <c r="A17" i="14"/>
  <c r="B17" i="14"/>
  <c r="C17" i="14"/>
  <c r="A18" i="14"/>
  <c r="B18" i="14"/>
  <c r="C18" i="14"/>
  <c r="A19" i="14"/>
  <c r="B19" i="14"/>
  <c r="C19" i="14"/>
  <c r="A20" i="14"/>
  <c r="B20" i="14"/>
  <c r="C20" i="14"/>
  <c r="A21" i="14"/>
  <c r="B21" i="14"/>
  <c r="C21" i="14"/>
  <c r="A22" i="14"/>
  <c r="B22" i="14"/>
  <c r="C22" i="14"/>
  <c r="A23" i="14"/>
  <c r="B23" i="14"/>
  <c r="C23" i="14"/>
  <c r="A24" i="14"/>
  <c r="B24" i="14"/>
  <c r="C24" i="14"/>
  <c r="A25" i="14"/>
  <c r="B25" i="14"/>
  <c r="C25" i="14"/>
  <c r="A26" i="14"/>
  <c r="B26" i="14"/>
  <c r="C26" i="14"/>
  <c r="A27" i="14"/>
  <c r="B27" i="14"/>
  <c r="C27" i="14"/>
  <c r="A28" i="14"/>
  <c r="B28" i="14"/>
  <c r="C28" i="14"/>
  <c r="A29" i="14"/>
  <c r="B29" i="14"/>
  <c r="C29" i="14"/>
  <c r="A30" i="14"/>
  <c r="B30" i="14"/>
  <c r="C30" i="14"/>
  <c r="A31" i="14"/>
  <c r="B31" i="14"/>
  <c r="C31" i="14"/>
  <c r="A32" i="14"/>
  <c r="B32" i="14"/>
  <c r="C32" i="14"/>
  <c r="A5" i="6"/>
  <c r="B5" i="6"/>
  <c r="C5" i="6"/>
  <c r="A6" i="6"/>
  <c r="B6" i="6"/>
  <c r="C6" i="6"/>
  <c r="A7" i="6"/>
  <c r="B7" i="6"/>
  <c r="C7" i="6"/>
  <c r="A8" i="6"/>
  <c r="B8" i="6"/>
  <c r="C8" i="6"/>
  <c r="A9" i="6"/>
  <c r="B9" i="6"/>
  <c r="C9" i="6"/>
  <c r="A10" i="6"/>
  <c r="B10" i="6"/>
  <c r="C10" i="6"/>
  <c r="A11" i="6"/>
  <c r="B11" i="6"/>
  <c r="C11" i="6"/>
  <c r="A12" i="6"/>
  <c r="B12" i="6"/>
  <c r="C12" i="6"/>
  <c r="A13" i="6"/>
  <c r="B13" i="6"/>
  <c r="C13" i="6"/>
  <c r="A14" i="6"/>
  <c r="B14" i="6"/>
  <c r="C14" i="6"/>
  <c r="A15" i="6"/>
  <c r="B15" i="6"/>
  <c r="C15" i="6"/>
  <c r="A16" i="6"/>
  <c r="B16" i="6"/>
  <c r="C16" i="6"/>
  <c r="A17" i="6"/>
  <c r="B17" i="6"/>
  <c r="C17" i="6"/>
  <c r="A18" i="6"/>
  <c r="B18" i="6"/>
  <c r="C18" i="6"/>
  <c r="A19" i="6"/>
  <c r="B19" i="6"/>
  <c r="C19" i="6"/>
  <c r="A20" i="6"/>
  <c r="B20" i="6"/>
  <c r="C20" i="6"/>
  <c r="A21" i="6"/>
  <c r="B21" i="6"/>
  <c r="C21" i="6"/>
  <c r="A22" i="6"/>
  <c r="B22" i="6"/>
  <c r="C22" i="6"/>
  <c r="A23" i="6"/>
  <c r="B23" i="6"/>
  <c r="C23" i="6"/>
  <c r="A24" i="6"/>
  <c r="B24" i="6"/>
  <c r="C24" i="6"/>
  <c r="A25" i="6"/>
  <c r="B25" i="6"/>
  <c r="C25" i="6"/>
  <c r="A26" i="6"/>
  <c r="B26" i="6"/>
  <c r="C26" i="6"/>
  <c r="A27" i="6"/>
  <c r="B27" i="6"/>
  <c r="C27" i="6"/>
  <c r="A28" i="6"/>
  <c r="B28" i="6"/>
  <c r="C28" i="6"/>
  <c r="A29" i="6"/>
  <c r="B29" i="6"/>
  <c r="C29" i="6"/>
  <c r="A30" i="6"/>
  <c r="B30" i="6"/>
  <c r="C30" i="6"/>
  <c r="A31" i="6"/>
  <c r="B31" i="6"/>
  <c r="C31" i="6"/>
  <c r="A32" i="6"/>
  <c r="B32" i="6"/>
  <c r="C32" i="6"/>
  <c r="A5" i="8"/>
  <c r="B5" i="8"/>
  <c r="C5" i="8"/>
  <c r="A6" i="8"/>
  <c r="B6" i="8"/>
  <c r="C6" i="8"/>
  <c r="A7" i="8"/>
  <c r="B7" i="8"/>
  <c r="C7" i="8"/>
  <c r="A8" i="8"/>
  <c r="B8" i="8"/>
  <c r="C8" i="8"/>
  <c r="A9" i="8"/>
  <c r="B9" i="8"/>
  <c r="C9" i="8"/>
  <c r="A10" i="8"/>
  <c r="B10" i="8"/>
  <c r="C10" i="8"/>
  <c r="A11" i="8"/>
  <c r="B11" i="8"/>
  <c r="C11" i="8"/>
  <c r="A12" i="8"/>
  <c r="B12" i="8"/>
  <c r="C12" i="8"/>
  <c r="A13" i="8"/>
  <c r="B13" i="8"/>
  <c r="C13" i="8"/>
  <c r="A14" i="8"/>
  <c r="B14" i="8"/>
  <c r="C14" i="8"/>
  <c r="A15" i="8"/>
  <c r="B15" i="8"/>
  <c r="C15" i="8"/>
  <c r="A16" i="8"/>
  <c r="B16" i="8"/>
  <c r="C16" i="8"/>
  <c r="A17" i="8"/>
  <c r="B17" i="8"/>
  <c r="C17" i="8"/>
  <c r="A18" i="8"/>
  <c r="B18" i="8"/>
  <c r="C18" i="8"/>
  <c r="A19" i="8"/>
  <c r="B19" i="8"/>
  <c r="C19" i="8"/>
  <c r="A20" i="8"/>
  <c r="B20" i="8"/>
  <c r="C20" i="8"/>
  <c r="A21" i="8"/>
  <c r="B21" i="8"/>
  <c r="C21" i="8"/>
  <c r="A22" i="8"/>
  <c r="B22" i="8"/>
  <c r="C22" i="8"/>
  <c r="A23" i="8"/>
  <c r="B23" i="8"/>
  <c r="C23" i="8"/>
  <c r="A24" i="8"/>
  <c r="B24" i="8"/>
  <c r="C24" i="8"/>
  <c r="A25" i="8"/>
  <c r="B25" i="8"/>
  <c r="C25" i="8"/>
  <c r="A26" i="8"/>
  <c r="B26" i="8"/>
  <c r="C26" i="8"/>
  <c r="A27" i="8"/>
  <c r="B27" i="8"/>
  <c r="C27" i="8"/>
  <c r="A28" i="8"/>
  <c r="B28" i="8"/>
  <c r="C28" i="8"/>
  <c r="A29" i="8"/>
  <c r="B29" i="8"/>
  <c r="C29" i="8"/>
  <c r="A30" i="8"/>
  <c r="B30" i="8"/>
  <c r="C30" i="8"/>
  <c r="A31" i="8"/>
  <c r="B31" i="8"/>
  <c r="C31" i="8"/>
  <c r="A32" i="8"/>
  <c r="B32" i="8"/>
  <c r="C32" i="8"/>
  <c r="A5" i="10"/>
  <c r="B5" i="10"/>
  <c r="C5" i="10"/>
  <c r="A6" i="10"/>
  <c r="B6" i="10"/>
  <c r="C6" i="10"/>
  <c r="A7" i="10"/>
  <c r="B7" i="10"/>
  <c r="C7" i="10"/>
  <c r="A8" i="10"/>
  <c r="B8" i="10"/>
  <c r="C8" i="10"/>
  <c r="A9" i="10"/>
  <c r="B9" i="10"/>
  <c r="C9" i="10"/>
  <c r="A10" i="10"/>
  <c r="B10" i="10"/>
  <c r="C10" i="10"/>
  <c r="A11" i="10"/>
  <c r="B11" i="10"/>
  <c r="C11" i="10"/>
  <c r="A12" i="10"/>
  <c r="B12" i="10"/>
  <c r="C12" i="10"/>
  <c r="A13" i="10"/>
  <c r="B13" i="10"/>
  <c r="C13" i="10"/>
  <c r="A14" i="10"/>
  <c r="B14" i="10"/>
  <c r="C14" i="10"/>
  <c r="A15" i="10"/>
  <c r="B15" i="10"/>
  <c r="C15" i="10"/>
  <c r="A16" i="10"/>
  <c r="B16" i="10"/>
  <c r="C16" i="10"/>
  <c r="A17" i="10"/>
  <c r="B17" i="10"/>
  <c r="C17" i="10"/>
  <c r="A18" i="10"/>
  <c r="B18" i="10"/>
  <c r="C18" i="10"/>
  <c r="A19" i="10"/>
  <c r="B19" i="10"/>
  <c r="C19" i="10"/>
  <c r="A20" i="10"/>
  <c r="B20" i="10"/>
  <c r="C20" i="10"/>
  <c r="A21" i="10"/>
  <c r="B21" i="10"/>
  <c r="C21" i="10"/>
  <c r="A22" i="10"/>
  <c r="B22" i="10"/>
  <c r="C22" i="10"/>
  <c r="A23" i="10"/>
  <c r="B23" i="10"/>
  <c r="C23" i="10"/>
  <c r="A24" i="10"/>
  <c r="B24" i="10"/>
  <c r="C24" i="10"/>
  <c r="A25" i="10"/>
  <c r="B25" i="10"/>
  <c r="C25" i="10"/>
  <c r="A26" i="10"/>
  <c r="B26" i="10"/>
  <c r="C26" i="10"/>
  <c r="A27" i="10"/>
  <c r="B27" i="10"/>
  <c r="C27" i="10"/>
  <c r="A28" i="10"/>
  <c r="B28" i="10"/>
  <c r="C28" i="10"/>
  <c r="A29" i="10"/>
  <c r="B29" i="10"/>
  <c r="C29" i="10"/>
  <c r="A30" i="10"/>
  <c r="B30" i="10"/>
  <c r="C30" i="10"/>
  <c r="A31" i="10"/>
  <c r="B31" i="10"/>
  <c r="C31" i="10"/>
  <c r="A32" i="10"/>
  <c r="B32" i="10"/>
  <c r="C32" i="10"/>
  <c r="A5" i="9"/>
  <c r="B5" i="9"/>
  <c r="C5" i="9"/>
  <c r="A6" i="9"/>
  <c r="B6" i="9"/>
  <c r="C6" i="9"/>
  <c r="A7" i="9"/>
  <c r="B7" i="9"/>
  <c r="C7" i="9"/>
  <c r="A8" i="9"/>
  <c r="B8" i="9"/>
  <c r="C8" i="9"/>
  <c r="A9" i="9"/>
  <c r="B9" i="9"/>
  <c r="C9" i="9"/>
  <c r="A10" i="9"/>
  <c r="B10" i="9"/>
  <c r="C10" i="9"/>
  <c r="A11" i="9"/>
  <c r="B11" i="9"/>
  <c r="C11" i="9"/>
  <c r="A12" i="9"/>
  <c r="B12" i="9"/>
  <c r="C12" i="9"/>
  <c r="A13" i="9"/>
  <c r="B13" i="9"/>
  <c r="C13" i="9"/>
  <c r="A14" i="9"/>
  <c r="B14" i="9"/>
  <c r="C14" i="9"/>
  <c r="A15" i="9"/>
  <c r="B15" i="9"/>
  <c r="C15" i="9"/>
  <c r="A16" i="9"/>
  <c r="B16" i="9"/>
  <c r="C16" i="9"/>
  <c r="A17" i="9"/>
  <c r="B17" i="9"/>
  <c r="C17" i="9"/>
  <c r="A18" i="9"/>
  <c r="B18" i="9"/>
  <c r="C18" i="9"/>
  <c r="A19" i="9"/>
  <c r="B19" i="9"/>
  <c r="C19" i="9"/>
  <c r="A20" i="9"/>
  <c r="B20" i="9"/>
  <c r="C20" i="9"/>
  <c r="A21" i="9"/>
  <c r="B21" i="9"/>
  <c r="C21" i="9"/>
  <c r="A22" i="9"/>
  <c r="B22" i="9"/>
  <c r="C22" i="9"/>
  <c r="A23" i="9"/>
  <c r="B23" i="9"/>
  <c r="C23" i="9"/>
  <c r="A24" i="9"/>
  <c r="B24" i="9"/>
  <c r="C24" i="9"/>
  <c r="A25" i="9"/>
  <c r="B25" i="9"/>
  <c r="C25" i="9"/>
  <c r="A26" i="9"/>
  <c r="B26" i="9"/>
  <c r="C26" i="9"/>
  <c r="A27" i="9"/>
  <c r="B27" i="9"/>
  <c r="C27" i="9"/>
  <c r="A28" i="9"/>
  <c r="B28" i="9"/>
  <c r="C28" i="9"/>
  <c r="A29" i="9"/>
  <c r="B29" i="9"/>
  <c r="C29" i="9"/>
  <c r="A30" i="9"/>
  <c r="B30" i="9"/>
  <c r="C30" i="9"/>
  <c r="A31" i="9"/>
  <c r="B31" i="9"/>
  <c r="C31" i="9"/>
  <c r="A32" i="9"/>
  <c r="B32" i="9"/>
  <c r="C32" i="9"/>
  <c r="A4" i="9"/>
  <c r="A5" i="11"/>
  <c r="B5" i="11"/>
  <c r="C5" i="11"/>
  <c r="A6" i="1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A20" i="11"/>
  <c r="B20" i="11"/>
  <c r="C20" i="11"/>
  <c r="A21" i="11"/>
  <c r="B21" i="11"/>
  <c r="C21" i="11"/>
  <c r="A22" i="11"/>
  <c r="B22" i="11"/>
  <c r="C22" i="11"/>
  <c r="A23" i="11"/>
  <c r="B23" i="11"/>
  <c r="C23" i="11"/>
  <c r="A24" i="11"/>
  <c r="B24" i="11"/>
  <c r="C24" i="11"/>
  <c r="A25" i="11"/>
  <c r="B25" i="11"/>
  <c r="C25" i="11"/>
  <c r="A26" i="11"/>
  <c r="B26" i="11"/>
  <c r="C26" i="11"/>
  <c r="A27" i="11"/>
  <c r="B27" i="11"/>
  <c r="C27" i="11"/>
  <c r="A28" i="11"/>
  <c r="B28" i="11"/>
  <c r="C28" i="11"/>
  <c r="A29" i="11"/>
  <c r="B29" i="11"/>
  <c r="C29" i="11"/>
  <c r="A30" i="11"/>
  <c r="B30" i="11"/>
  <c r="C30" i="11"/>
  <c r="A31" i="11"/>
  <c r="B31" i="11"/>
  <c r="C31" i="11"/>
  <c r="A32" i="11"/>
  <c r="B32" i="11"/>
  <c r="C32" i="1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4" i="2"/>
  <c r="A5" i="2"/>
  <c r="C5" i="2"/>
  <c r="A6" i="2"/>
  <c r="C6" i="2"/>
  <c r="A7" i="2"/>
  <c r="C7" i="2"/>
  <c r="A8" i="2"/>
  <c r="C8" i="2"/>
  <c r="A9" i="2"/>
  <c r="C9" i="2"/>
  <c r="A10" i="2"/>
  <c r="C10" i="2"/>
  <c r="A11" i="2"/>
  <c r="C11" i="2"/>
  <c r="A12" i="2"/>
  <c r="C12" i="2"/>
  <c r="A13" i="2"/>
  <c r="C13" i="2"/>
  <c r="A14" i="2"/>
  <c r="C14" i="2"/>
  <c r="A15" i="2"/>
  <c r="C15" i="2"/>
  <c r="A16" i="2"/>
  <c r="C16" i="2"/>
  <c r="A17" i="2"/>
  <c r="C17" i="2"/>
  <c r="A18" i="2"/>
  <c r="C18" i="2"/>
  <c r="A19" i="2"/>
  <c r="C19" i="2"/>
  <c r="A20" i="2"/>
  <c r="C20" i="2"/>
  <c r="A21" i="2"/>
  <c r="C21" i="2"/>
  <c r="A22" i="2"/>
  <c r="C22" i="2"/>
  <c r="A23" i="2"/>
  <c r="C23" i="2"/>
  <c r="A24" i="2"/>
  <c r="C24" i="2"/>
  <c r="A25" i="2"/>
  <c r="C25" i="2"/>
  <c r="A26" i="2"/>
  <c r="C26" i="2"/>
  <c r="A27" i="2"/>
  <c r="C27" i="2"/>
  <c r="A28" i="2"/>
  <c r="C28" i="2"/>
  <c r="A29" i="2"/>
  <c r="C29" i="2"/>
  <c r="A30" i="2"/>
  <c r="C30" i="2"/>
  <c r="A31" i="2"/>
  <c r="C31" i="2"/>
  <c r="A32" i="2"/>
  <c r="C32" i="2"/>
  <c r="D3" i="1"/>
  <c r="CJ29" i="12" l="1"/>
  <c r="CJ30" i="12"/>
  <c r="E30" i="5"/>
  <c r="BJ28" i="12" s="1"/>
  <c r="G30" i="5"/>
  <c r="BK28" i="12" s="1"/>
  <c r="E31" i="5"/>
  <c r="BJ29" i="12" s="1"/>
  <c r="G31" i="5"/>
  <c r="BK29" i="12" s="1"/>
  <c r="E32" i="5"/>
  <c r="BJ30" i="12" s="1"/>
  <c r="G32" i="5"/>
  <c r="BK30" i="12" s="1"/>
  <c r="E30" i="7"/>
  <c r="BD28" i="12" s="1"/>
  <c r="G30" i="7"/>
  <c r="BE28" i="12" s="1"/>
  <c r="E31" i="7"/>
  <c r="BD29" i="12" s="1"/>
  <c r="G31" i="7"/>
  <c r="BE29" i="12" s="1"/>
  <c r="E32" i="7"/>
  <c r="BD30" i="12" s="1"/>
  <c r="G32" i="7"/>
  <c r="BE30" i="12" s="1"/>
  <c r="E30" i="14"/>
  <c r="AX28" i="12" s="1"/>
  <c r="G30" i="14"/>
  <c r="AY28" i="12" s="1"/>
  <c r="E31" i="14"/>
  <c r="AX29" i="12" s="1"/>
  <c r="G31" i="14"/>
  <c r="AY29" i="12" s="1"/>
  <c r="E32" i="14"/>
  <c r="AX30" i="12" s="1"/>
  <c r="G32" i="14"/>
  <c r="AY30" i="12" s="1"/>
  <c r="E30" i="6"/>
  <c r="AR28" i="12" s="1"/>
  <c r="G30" i="6"/>
  <c r="AS28" i="12" s="1"/>
  <c r="E31" i="6"/>
  <c r="AR29" i="12" s="1"/>
  <c r="G31" i="6"/>
  <c r="AS29" i="12" s="1"/>
  <c r="E32" i="6"/>
  <c r="AR30" i="12" s="1"/>
  <c r="G32" i="6"/>
  <c r="AS30" i="12" s="1"/>
  <c r="E30" i="8"/>
  <c r="AL28" i="12" s="1"/>
  <c r="G30" i="8"/>
  <c r="AM28" i="12" s="1"/>
  <c r="E31" i="8"/>
  <c r="AL29" i="12" s="1"/>
  <c r="G31" i="8"/>
  <c r="AM29" i="12" s="1"/>
  <c r="E32" i="8"/>
  <c r="AL30" i="12" s="1"/>
  <c r="G32" i="8"/>
  <c r="AM30" i="12" s="1"/>
  <c r="E30" i="10"/>
  <c r="AF28" i="12" s="1"/>
  <c r="G30" i="10"/>
  <c r="AG28" i="12" s="1"/>
  <c r="E31" i="10"/>
  <c r="AF29" i="12" s="1"/>
  <c r="G31" i="10"/>
  <c r="AG29" i="12" s="1"/>
  <c r="E32" i="10"/>
  <c r="AF30" i="12" s="1"/>
  <c r="G32" i="10"/>
  <c r="AG30" i="12" s="1"/>
  <c r="E30" i="9"/>
  <c r="Z28" i="12" s="1"/>
  <c r="G30" i="9"/>
  <c r="AA28" i="12" s="1"/>
  <c r="E31" i="9"/>
  <c r="Z29" i="12" s="1"/>
  <c r="G31" i="9"/>
  <c r="AA29" i="12" s="1"/>
  <c r="E32" i="9"/>
  <c r="Z30" i="12" s="1"/>
  <c r="G32" i="9"/>
  <c r="AA30" i="12" s="1"/>
  <c r="E30" i="11"/>
  <c r="T28" i="12" s="1"/>
  <c r="G30" i="11"/>
  <c r="U28" i="12" s="1"/>
  <c r="E31" i="11"/>
  <c r="T29" i="12" s="1"/>
  <c r="G31" i="11"/>
  <c r="U29" i="12" s="1"/>
  <c r="E32" i="11"/>
  <c r="T30" i="12" s="1"/>
  <c r="G32" i="11"/>
  <c r="U30" i="12" s="1"/>
  <c r="E30" i="2"/>
  <c r="N28" i="12" s="1"/>
  <c r="G30" i="2"/>
  <c r="O28" i="12" s="1"/>
  <c r="E31" i="2"/>
  <c r="N29" i="12" s="1"/>
  <c r="G31" i="2"/>
  <c r="O29" i="12" s="1"/>
  <c r="E32" i="2"/>
  <c r="N30" i="12" s="1"/>
  <c r="G32" i="2"/>
  <c r="O30" i="12" s="1"/>
  <c r="D28" i="12"/>
  <c r="H30" i="2" l="1"/>
  <c r="P28" i="12" s="1"/>
  <c r="H32" i="2"/>
  <c r="P30" i="12" s="1"/>
  <c r="H31" i="2"/>
  <c r="P29" i="12" s="1"/>
  <c r="H31" i="11"/>
  <c r="V29" i="12" s="1"/>
  <c r="H32" i="11"/>
  <c r="V30" i="12" s="1"/>
  <c r="CJ28" i="12"/>
  <c r="H32" i="5"/>
  <c r="H30" i="5"/>
  <c r="H31" i="5"/>
  <c r="H32" i="7"/>
  <c r="H31" i="7"/>
  <c r="H30" i="7"/>
  <c r="H32" i="14"/>
  <c r="H31" i="14"/>
  <c r="H30" i="14"/>
  <c r="H32" i="6"/>
  <c r="H31" i="6"/>
  <c r="H30" i="6"/>
  <c r="H32" i="8"/>
  <c r="H30" i="8"/>
  <c r="H31" i="8"/>
  <c r="H32" i="10"/>
  <c r="H30" i="10"/>
  <c r="H31" i="10"/>
  <c r="H32" i="9"/>
  <c r="H30" i="9"/>
  <c r="H31" i="9"/>
  <c r="H30" i="11"/>
  <c r="V28" i="12" s="1"/>
  <c r="D30" i="12"/>
  <c r="D29" i="12"/>
  <c r="J31" i="5"/>
  <c r="BN29" i="12" s="1"/>
  <c r="CE29" i="12" s="1"/>
  <c r="J30" i="7"/>
  <c r="BH28" i="12" s="1"/>
  <c r="CD28" i="12" s="1"/>
  <c r="K30" i="7"/>
  <c r="BI28" i="12" s="1"/>
  <c r="J31" i="6"/>
  <c r="AV29" i="12" s="1"/>
  <c r="CB29" i="12" s="1"/>
  <c r="K32" i="8"/>
  <c r="AQ30" i="12" s="1"/>
  <c r="J32" i="9"/>
  <c r="AD30" i="12" s="1"/>
  <c r="BY30" i="12" s="1"/>
  <c r="J32" i="11"/>
  <c r="X30" i="12" s="1"/>
  <c r="BX30" i="12" s="1"/>
  <c r="K31" i="11"/>
  <c r="Y29" i="12" s="1"/>
  <c r="J31" i="11"/>
  <c r="X29" i="12" s="1"/>
  <c r="BX29" i="12" s="1"/>
  <c r="CJ24" i="12"/>
  <c r="CJ26" i="12"/>
  <c r="E26" i="5"/>
  <c r="BJ24" i="12" s="1"/>
  <c r="G26" i="5"/>
  <c r="BK24" i="12" s="1"/>
  <c r="E27" i="5"/>
  <c r="BJ25" i="12" s="1"/>
  <c r="G27" i="5"/>
  <c r="BK25" i="12" s="1"/>
  <c r="E28" i="5"/>
  <c r="BJ26" i="12" s="1"/>
  <c r="G28" i="5"/>
  <c r="BK26" i="12" s="1"/>
  <c r="E29" i="5"/>
  <c r="BJ27" i="12" s="1"/>
  <c r="G29" i="5"/>
  <c r="BK27" i="12" s="1"/>
  <c r="E26" i="7"/>
  <c r="BD24" i="12" s="1"/>
  <c r="G26" i="7"/>
  <c r="BE24" i="12" s="1"/>
  <c r="E27" i="7"/>
  <c r="BD25" i="12" s="1"/>
  <c r="G27" i="7"/>
  <c r="BE25" i="12" s="1"/>
  <c r="E28" i="7"/>
  <c r="BD26" i="12" s="1"/>
  <c r="G28" i="7"/>
  <c r="BE26" i="12" s="1"/>
  <c r="E29" i="7"/>
  <c r="BD27" i="12" s="1"/>
  <c r="G29" i="7"/>
  <c r="BE27" i="12" s="1"/>
  <c r="E26" i="14"/>
  <c r="AX24" i="12" s="1"/>
  <c r="G26" i="14"/>
  <c r="AY24" i="12" s="1"/>
  <c r="E27" i="14"/>
  <c r="AX25" i="12" s="1"/>
  <c r="G27" i="14"/>
  <c r="AY25" i="12" s="1"/>
  <c r="E28" i="14"/>
  <c r="AX26" i="12" s="1"/>
  <c r="G28" i="14"/>
  <c r="AY26" i="12" s="1"/>
  <c r="E29" i="14"/>
  <c r="AX27" i="12" s="1"/>
  <c r="G29" i="14"/>
  <c r="AY27" i="12" s="1"/>
  <c r="E26" i="6"/>
  <c r="AR24" i="12" s="1"/>
  <c r="G26" i="6"/>
  <c r="AS24" i="12" s="1"/>
  <c r="E27" i="6"/>
  <c r="AR25" i="12" s="1"/>
  <c r="G27" i="6"/>
  <c r="AS25" i="12" s="1"/>
  <c r="E28" i="6"/>
  <c r="AR26" i="12" s="1"/>
  <c r="G28" i="6"/>
  <c r="AS26" i="12" s="1"/>
  <c r="E29" i="6"/>
  <c r="AR27" i="12" s="1"/>
  <c r="G29" i="6"/>
  <c r="AS27" i="12" s="1"/>
  <c r="E26" i="8"/>
  <c r="AL24" i="12" s="1"/>
  <c r="G26" i="8"/>
  <c r="AM24" i="12" s="1"/>
  <c r="E27" i="8"/>
  <c r="AL25" i="12" s="1"/>
  <c r="G27" i="8"/>
  <c r="AM25" i="12" s="1"/>
  <c r="E28" i="8"/>
  <c r="AL26" i="12" s="1"/>
  <c r="G28" i="8"/>
  <c r="AM26" i="12" s="1"/>
  <c r="E29" i="8"/>
  <c r="AL27" i="12" s="1"/>
  <c r="G29" i="8"/>
  <c r="AM27" i="12" s="1"/>
  <c r="E26" i="10"/>
  <c r="AF24" i="12" s="1"/>
  <c r="G26" i="10"/>
  <c r="AG24" i="12" s="1"/>
  <c r="E27" i="10"/>
  <c r="AF25" i="12" s="1"/>
  <c r="G27" i="10"/>
  <c r="AG25" i="12" s="1"/>
  <c r="E28" i="10"/>
  <c r="AF26" i="12" s="1"/>
  <c r="G28" i="10"/>
  <c r="AG26" i="12" s="1"/>
  <c r="E29" i="10"/>
  <c r="AF27" i="12" s="1"/>
  <c r="G29" i="10"/>
  <c r="AG27" i="12" s="1"/>
  <c r="E26" i="9"/>
  <c r="Z24" i="12" s="1"/>
  <c r="G26" i="9"/>
  <c r="AA24" i="12" s="1"/>
  <c r="E27" i="9"/>
  <c r="Z25" i="12" s="1"/>
  <c r="G27" i="9"/>
  <c r="AA25" i="12" s="1"/>
  <c r="E28" i="9"/>
  <c r="Z26" i="12" s="1"/>
  <c r="G28" i="9"/>
  <c r="AA26" i="12" s="1"/>
  <c r="E29" i="9"/>
  <c r="Z27" i="12" s="1"/>
  <c r="G29" i="9"/>
  <c r="AA27" i="12" s="1"/>
  <c r="E26" i="11"/>
  <c r="T24" i="12" s="1"/>
  <c r="G26" i="11"/>
  <c r="U24" i="12" s="1"/>
  <c r="E27" i="11"/>
  <c r="T25" i="12" s="1"/>
  <c r="G27" i="11"/>
  <c r="U25" i="12" s="1"/>
  <c r="E28" i="11"/>
  <c r="T26" i="12" s="1"/>
  <c r="G28" i="11"/>
  <c r="U26" i="12" s="1"/>
  <c r="E29" i="11"/>
  <c r="T27" i="12" s="1"/>
  <c r="G29" i="11"/>
  <c r="U27" i="12" s="1"/>
  <c r="K30" i="2" l="1"/>
  <c r="S28" i="12" s="1"/>
  <c r="K31" i="5"/>
  <c r="BO29" i="12" s="1"/>
  <c r="BL29" i="12"/>
  <c r="J30" i="5"/>
  <c r="BN28" i="12" s="1"/>
  <c r="CE28" i="12" s="1"/>
  <c r="BL28" i="12"/>
  <c r="BL30" i="12"/>
  <c r="BF28" i="12"/>
  <c r="K31" i="7"/>
  <c r="BI29" i="12" s="1"/>
  <c r="BF29" i="12"/>
  <c r="K32" i="7"/>
  <c r="BI30" i="12" s="1"/>
  <c r="BF30" i="12"/>
  <c r="J30" i="14"/>
  <c r="AZ28" i="12"/>
  <c r="AZ30" i="12"/>
  <c r="K31" i="14"/>
  <c r="BC29" i="12" s="1"/>
  <c r="AZ29" i="12"/>
  <c r="AT29" i="12"/>
  <c r="AT30" i="12"/>
  <c r="K30" i="6"/>
  <c r="AW28" i="12" s="1"/>
  <c r="AT28" i="12"/>
  <c r="AN30" i="12"/>
  <c r="K30" i="8"/>
  <c r="AQ28" i="12" s="1"/>
  <c r="AN28" i="12"/>
  <c r="J30" i="8"/>
  <c r="AP28" i="12" s="1"/>
  <c r="CA28" i="12" s="1"/>
  <c r="J32" i="8"/>
  <c r="AP30" i="12" s="1"/>
  <c r="CA30" i="12" s="1"/>
  <c r="AN29" i="12"/>
  <c r="K31" i="10"/>
  <c r="AK29" i="12" s="1"/>
  <c r="AH29" i="12"/>
  <c r="J30" i="10"/>
  <c r="AJ28" i="12" s="1"/>
  <c r="BZ28" i="12" s="1"/>
  <c r="AH28" i="12"/>
  <c r="BS28" i="12" s="1"/>
  <c r="J32" i="10"/>
  <c r="AJ30" i="12" s="1"/>
  <c r="BZ30" i="12" s="1"/>
  <c r="AH30" i="12"/>
  <c r="K32" i="10"/>
  <c r="AK30" i="12" s="1"/>
  <c r="AB29" i="12"/>
  <c r="AB28" i="12"/>
  <c r="AB30" i="12"/>
  <c r="K30" i="11"/>
  <c r="Y28" i="12" s="1"/>
  <c r="K30" i="5"/>
  <c r="BO28" i="12" s="1"/>
  <c r="J31" i="7"/>
  <c r="BH29" i="12" s="1"/>
  <c r="CD29" i="12" s="1"/>
  <c r="K30" i="14"/>
  <c r="BC28" i="12" s="1"/>
  <c r="K31" i="6"/>
  <c r="AW29" i="12" s="1"/>
  <c r="K32" i="6"/>
  <c r="AW30" i="12" s="1"/>
  <c r="K30" i="10"/>
  <c r="AK28" i="12" s="1"/>
  <c r="K32" i="11"/>
  <c r="Y30" i="12" s="1"/>
  <c r="H27" i="5"/>
  <c r="K32" i="5"/>
  <c r="BO30" i="12" s="1"/>
  <c r="J32" i="5"/>
  <c r="BN30" i="12" s="1"/>
  <c r="CE30" i="12" s="1"/>
  <c r="H26" i="7"/>
  <c r="J32" i="7"/>
  <c r="BH30" i="12" s="1"/>
  <c r="CD30" i="12" s="1"/>
  <c r="K32" i="14"/>
  <c r="BC30" i="12" s="1"/>
  <c r="J32" i="14"/>
  <c r="J32" i="6"/>
  <c r="AV30" i="12" s="1"/>
  <c r="CB30" i="12" s="1"/>
  <c r="H29" i="6"/>
  <c r="H27" i="6"/>
  <c r="H28" i="6"/>
  <c r="K31" i="8"/>
  <c r="AQ29" i="12" s="1"/>
  <c r="J31" i="8"/>
  <c r="AP29" i="12" s="1"/>
  <c r="CA29" i="12" s="1"/>
  <c r="J31" i="10"/>
  <c r="AJ29" i="12" s="1"/>
  <c r="BZ29" i="12" s="1"/>
  <c r="H29" i="9"/>
  <c r="K29" i="9" s="1"/>
  <c r="AE27" i="12" s="1"/>
  <c r="K32" i="9"/>
  <c r="AE30" i="12" s="1"/>
  <c r="J30" i="11"/>
  <c r="X28" i="12" s="1"/>
  <c r="BX28" i="12" s="1"/>
  <c r="H29" i="11"/>
  <c r="V27" i="12" s="1"/>
  <c r="K32" i="2"/>
  <c r="S30" i="12" s="1"/>
  <c r="H29" i="5"/>
  <c r="H28" i="5"/>
  <c r="K28" i="5" s="1"/>
  <c r="BO26" i="12" s="1"/>
  <c r="H26" i="5"/>
  <c r="H28" i="7"/>
  <c r="H29" i="7"/>
  <c r="H27" i="7"/>
  <c r="J31" i="14"/>
  <c r="H28" i="14"/>
  <c r="H27" i="14"/>
  <c r="H26" i="6"/>
  <c r="J30" i="6"/>
  <c r="AV28" i="12" s="1"/>
  <c r="CB28" i="12" s="1"/>
  <c r="H28" i="8"/>
  <c r="H27" i="8"/>
  <c r="H29" i="8"/>
  <c r="H28" i="10"/>
  <c r="AH26" i="12" s="1"/>
  <c r="K30" i="9"/>
  <c r="AE28" i="12" s="1"/>
  <c r="J30" i="9"/>
  <c r="AD28" i="12" s="1"/>
  <c r="BY28" i="12" s="1"/>
  <c r="K31" i="9"/>
  <c r="AE29" i="12" s="1"/>
  <c r="J31" i="9"/>
  <c r="AD29" i="12" s="1"/>
  <c r="BY29" i="12" s="1"/>
  <c r="H27" i="9"/>
  <c r="K27" i="9" s="1"/>
  <c r="AE25" i="12" s="1"/>
  <c r="J30" i="2"/>
  <c r="R28" i="12" s="1"/>
  <c r="BW28" i="12" s="1"/>
  <c r="H28" i="11"/>
  <c r="V26" i="12" s="1"/>
  <c r="J32" i="2"/>
  <c r="R30" i="12" s="1"/>
  <c r="BW30" i="12" s="1"/>
  <c r="K31" i="2"/>
  <c r="S29" i="12" s="1"/>
  <c r="J31" i="2"/>
  <c r="R29" i="12" s="1"/>
  <c r="BW29" i="12" s="1"/>
  <c r="CJ27" i="12"/>
  <c r="CJ25" i="12"/>
  <c r="K27" i="5"/>
  <c r="BO25" i="12" s="1"/>
  <c r="J27" i="5"/>
  <c r="BN25" i="12" s="1"/>
  <c r="CE25" i="12" s="1"/>
  <c r="H29" i="14"/>
  <c r="H26" i="14"/>
  <c r="J29" i="6"/>
  <c r="AV27" i="12" s="1"/>
  <c r="CB27" i="12" s="1"/>
  <c r="H26" i="8"/>
  <c r="K27" i="8"/>
  <c r="AQ25" i="12" s="1"/>
  <c r="H27" i="10"/>
  <c r="H26" i="10"/>
  <c r="AH24" i="12" s="1"/>
  <c r="H29" i="10"/>
  <c r="AH27" i="12" s="1"/>
  <c r="H26" i="9"/>
  <c r="H28" i="9"/>
  <c r="H27" i="11"/>
  <c r="V25" i="12" s="1"/>
  <c r="H26" i="11"/>
  <c r="V24" i="12" s="1"/>
  <c r="E26" i="2"/>
  <c r="N24" i="12" s="1"/>
  <c r="G26" i="2"/>
  <c r="O24" i="12" s="1"/>
  <c r="E27" i="2"/>
  <c r="N25" i="12" s="1"/>
  <c r="G27" i="2"/>
  <c r="O25" i="12" s="1"/>
  <c r="E28" i="2"/>
  <c r="N26" i="12" s="1"/>
  <c r="G28" i="2"/>
  <c r="O26" i="12" s="1"/>
  <c r="E29" i="2"/>
  <c r="N27" i="12" s="1"/>
  <c r="G29" i="2"/>
  <c r="O27" i="12" s="1"/>
  <c r="K29" i="5" l="1"/>
  <c r="BO27" i="12" s="1"/>
  <c r="BL27" i="12"/>
  <c r="BL25" i="12"/>
  <c r="J26" i="5"/>
  <c r="BN24" i="12" s="1"/>
  <c r="CE24" i="12" s="1"/>
  <c r="BL24" i="12"/>
  <c r="BL26" i="12"/>
  <c r="BF24" i="12"/>
  <c r="J27" i="7"/>
  <c r="BH25" i="12" s="1"/>
  <c r="CD25" i="12" s="1"/>
  <c r="BF25" i="12"/>
  <c r="BS30" i="12"/>
  <c r="K29" i="7"/>
  <c r="BI27" i="12" s="1"/>
  <c r="BF27" i="12"/>
  <c r="J28" i="7"/>
  <c r="BH26" i="12" s="1"/>
  <c r="CD26" i="12" s="1"/>
  <c r="BF26" i="12"/>
  <c r="K26" i="7"/>
  <c r="BI24" i="12" s="1"/>
  <c r="CC30" i="12"/>
  <c r="CF30" i="12" s="1"/>
  <c r="BB30" i="12"/>
  <c r="BB29" i="12"/>
  <c r="CC29" i="12"/>
  <c r="J28" i="14"/>
  <c r="AZ26" i="12"/>
  <c r="BR29" i="12"/>
  <c r="AZ24" i="12"/>
  <c r="K29" i="14"/>
  <c r="BC27" i="12" s="1"/>
  <c r="AZ27" i="12"/>
  <c r="J27" i="14"/>
  <c r="AZ25" i="12"/>
  <c r="BB28" i="12"/>
  <c r="CC28" i="12"/>
  <c r="CF28" i="12" s="1"/>
  <c r="J28" i="6"/>
  <c r="AV26" i="12" s="1"/>
  <c r="CB26" i="12" s="1"/>
  <c r="AT26" i="12"/>
  <c r="AT25" i="12"/>
  <c r="AT27" i="12"/>
  <c r="K26" i="6"/>
  <c r="AW24" i="12" s="1"/>
  <c r="AT24" i="12"/>
  <c r="BR28" i="12"/>
  <c r="K29" i="8"/>
  <c r="AQ27" i="12" s="1"/>
  <c r="AN27" i="12"/>
  <c r="AN24" i="12"/>
  <c r="AN25" i="12"/>
  <c r="J28" i="8"/>
  <c r="AP26" i="12" s="1"/>
  <c r="CA26" i="12" s="1"/>
  <c r="AN26" i="12"/>
  <c r="J29" i="8"/>
  <c r="AP27" i="12" s="1"/>
  <c r="CA27" i="12" s="1"/>
  <c r="K27" i="10"/>
  <c r="AK25" i="12" s="1"/>
  <c r="AH25" i="12"/>
  <c r="AB24" i="12"/>
  <c r="AB26" i="12"/>
  <c r="J27" i="9"/>
  <c r="AD25" i="12" s="1"/>
  <c r="BY25" i="12" s="1"/>
  <c r="AB25" i="12"/>
  <c r="CF29" i="12"/>
  <c r="J29" i="9"/>
  <c r="AD27" i="12" s="1"/>
  <c r="BY27" i="12" s="1"/>
  <c r="AB27" i="12"/>
  <c r="K28" i="11"/>
  <c r="Y26" i="12" s="1"/>
  <c r="K29" i="11"/>
  <c r="Y27" i="12" s="1"/>
  <c r="J26" i="7"/>
  <c r="BH24" i="12" s="1"/>
  <c r="CD24" i="12" s="1"/>
  <c r="J29" i="7"/>
  <c r="BH27" i="12" s="1"/>
  <c r="CD27" i="12" s="1"/>
  <c r="K28" i="7"/>
  <c r="BI26" i="12" s="1"/>
  <c r="J29" i="11"/>
  <c r="X27" i="12" s="1"/>
  <c r="BX27" i="12" s="1"/>
  <c r="H28" i="2"/>
  <c r="P26" i="12" s="1"/>
  <c r="H29" i="2"/>
  <c r="P27" i="12" s="1"/>
  <c r="H26" i="2"/>
  <c r="P24" i="12" s="1"/>
  <c r="H27" i="2"/>
  <c r="P25" i="12" s="1"/>
  <c r="J29" i="5"/>
  <c r="BN27" i="12" s="1"/>
  <c r="CE27" i="12" s="1"/>
  <c r="J28" i="5"/>
  <c r="BN26" i="12" s="1"/>
  <c r="CE26" i="12" s="1"/>
  <c r="K28" i="14"/>
  <c r="BC26" i="12" s="1"/>
  <c r="K26" i="14"/>
  <c r="BC24" i="12" s="1"/>
  <c r="K28" i="6"/>
  <c r="AW26" i="12" s="1"/>
  <c r="K27" i="6"/>
  <c r="AW25" i="12" s="1"/>
  <c r="K29" i="6"/>
  <c r="AW27" i="12" s="1"/>
  <c r="J27" i="6"/>
  <c r="AV25" i="12" s="1"/>
  <c r="CB25" i="12" s="1"/>
  <c r="J26" i="6"/>
  <c r="AV24" i="12" s="1"/>
  <c r="CB24" i="12" s="1"/>
  <c r="K28" i="8"/>
  <c r="AQ26" i="12" s="1"/>
  <c r="J27" i="8"/>
  <c r="AP25" i="12" s="1"/>
  <c r="CA25" i="12" s="1"/>
  <c r="J27" i="10"/>
  <c r="AJ25" i="12" s="1"/>
  <c r="BZ25" i="12" s="1"/>
  <c r="K28" i="10"/>
  <c r="AK26" i="12" s="1"/>
  <c r="J28" i="10"/>
  <c r="AJ26" i="12" s="1"/>
  <c r="BZ26" i="12" s="1"/>
  <c r="K26" i="10"/>
  <c r="AK24" i="12" s="1"/>
  <c r="J27" i="11"/>
  <c r="X25" i="12" s="1"/>
  <c r="BX25" i="12" s="1"/>
  <c r="J26" i="11"/>
  <c r="X24" i="12" s="1"/>
  <c r="BX24" i="12" s="1"/>
  <c r="K26" i="5"/>
  <c r="BO24" i="12" s="1"/>
  <c r="K27" i="7"/>
  <c r="BI25" i="12" s="1"/>
  <c r="J29" i="14"/>
  <c r="K27" i="14"/>
  <c r="BC25" i="12" s="1"/>
  <c r="J26" i="14"/>
  <c r="J26" i="8"/>
  <c r="AP24" i="12" s="1"/>
  <c r="CA24" i="12" s="1"/>
  <c r="K26" i="8"/>
  <c r="AQ24" i="12" s="1"/>
  <c r="K29" i="10"/>
  <c r="AK27" i="12" s="1"/>
  <c r="J26" i="10"/>
  <c r="AJ24" i="12" s="1"/>
  <c r="BZ24" i="12" s="1"/>
  <c r="K26" i="9"/>
  <c r="AE24" i="12" s="1"/>
  <c r="J26" i="9"/>
  <c r="AD24" i="12" s="1"/>
  <c r="BY24" i="12" s="1"/>
  <c r="K28" i="9"/>
  <c r="AE26" i="12" s="1"/>
  <c r="J28" i="9"/>
  <c r="AD26" i="12" s="1"/>
  <c r="BY26" i="12" s="1"/>
  <c r="K27" i="11"/>
  <c r="Y25" i="12" s="1"/>
  <c r="K26" i="11"/>
  <c r="Y24" i="12" s="1"/>
  <c r="J28" i="11"/>
  <c r="X26" i="12" s="1"/>
  <c r="BX26" i="12" s="1"/>
  <c r="D26" i="12"/>
  <c r="D27" i="12"/>
  <c r="D24" i="12"/>
  <c r="D25" i="12"/>
  <c r="J29" i="10"/>
  <c r="AJ27" i="12" s="1"/>
  <c r="BZ27" i="12" s="1"/>
  <c r="BR30" i="12" l="1"/>
  <c r="CC25" i="12"/>
  <c r="BB25" i="12"/>
  <c r="BS26" i="12"/>
  <c r="CC24" i="12"/>
  <c r="BB24" i="12"/>
  <c r="CC26" i="12"/>
  <c r="BB26" i="12"/>
  <c r="CC27" i="12"/>
  <c r="BB27" i="12"/>
  <c r="BS29" i="12"/>
  <c r="BR27" i="12"/>
  <c r="BR25" i="12"/>
  <c r="BR26" i="12"/>
  <c r="BR24" i="12"/>
  <c r="BS24" i="12"/>
  <c r="J26" i="2"/>
  <c r="R24" i="12" s="1"/>
  <c r="BW24" i="12" s="1"/>
  <c r="K29" i="2"/>
  <c r="S27" i="12" s="1"/>
  <c r="J29" i="2"/>
  <c r="R27" i="12" s="1"/>
  <c r="BW27" i="12" s="1"/>
  <c r="J27" i="2"/>
  <c r="R25" i="12" s="1"/>
  <c r="BW25" i="12" s="1"/>
  <c r="CF25" i="12" s="1"/>
  <c r="J28" i="2"/>
  <c r="R26" i="12" s="1"/>
  <c r="BW26" i="12" s="1"/>
  <c r="CF26" i="12" s="1"/>
  <c r="K28" i="2"/>
  <c r="S26" i="12" s="1"/>
  <c r="K27" i="2"/>
  <c r="S25" i="12" s="1"/>
  <c r="K26" i="2"/>
  <c r="S24" i="12" s="1"/>
  <c r="CJ23" i="12"/>
  <c r="E24" i="5"/>
  <c r="BJ22" i="12" s="1"/>
  <c r="G24" i="5"/>
  <c r="BK22" i="12" s="1"/>
  <c r="E25" i="5"/>
  <c r="BJ23" i="12" s="1"/>
  <c r="G25" i="5"/>
  <c r="BK23" i="12" s="1"/>
  <c r="E24" i="7"/>
  <c r="BD22" i="12" s="1"/>
  <c r="G24" i="7"/>
  <c r="BE22" i="12" s="1"/>
  <c r="E25" i="7"/>
  <c r="BD23" i="12" s="1"/>
  <c r="G25" i="7"/>
  <c r="BE23" i="12" s="1"/>
  <c r="E24" i="14"/>
  <c r="AX22" i="12" s="1"/>
  <c r="G24" i="14"/>
  <c r="AY22" i="12" s="1"/>
  <c r="E25" i="14"/>
  <c r="AX23" i="12" s="1"/>
  <c r="G25" i="14"/>
  <c r="AY23" i="12" s="1"/>
  <c r="E24" i="6"/>
  <c r="AR22" i="12" s="1"/>
  <c r="G24" i="6"/>
  <c r="AS22" i="12" s="1"/>
  <c r="E25" i="6"/>
  <c r="AR23" i="12" s="1"/>
  <c r="G25" i="6"/>
  <c r="AS23" i="12" s="1"/>
  <c r="E24" i="8"/>
  <c r="AL22" i="12" s="1"/>
  <c r="G24" i="8"/>
  <c r="AM22" i="12" s="1"/>
  <c r="E25" i="8"/>
  <c r="AL23" i="12" s="1"/>
  <c r="G25" i="8"/>
  <c r="AM23" i="12" s="1"/>
  <c r="E24" i="10"/>
  <c r="AF22" i="12" s="1"/>
  <c r="G24" i="10"/>
  <c r="AG22" i="12" s="1"/>
  <c r="E25" i="10"/>
  <c r="AF23" i="12" s="1"/>
  <c r="G25" i="10"/>
  <c r="AG23" i="12" s="1"/>
  <c r="E24" i="9"/>
  <c r="Z22" i="12" s="1"/>
  <c r="G24" i="9"/>
  <c r="AA22" i="12" s="1"/>
  <c r="E25" i="9"/>
  <c r="Z23" i="12" s="1"/>
  <c r="G25" i="9"/>
  <c r="AA23" i="12" s="1"/>
  <c r="E24" i="11"/>
  <c r="T22" i="12" s="1"/>
  <c r="G24" i="11"/>
  <c r="U22" i="12" s="1"/>
  <c r="E25" i="11"/>
  <c r="T23" i="12" s="1"/>
  <c r="G25" i="11"/>
  <c r="U23" i="12" s="1"/>
  <c r="E24" i="2"/>
  <c r="N22" i="12" s="1"/>
  <c r="G24" i="2"/>
  <c r="O22" i="12" s="1"/>
  <c r="E25" i="2"/>
  <c r="N23" i="12" s="1"/>
  <c r="G25" i="2"/>
  <c r="O23" i="12" s="1"/>
  <c r="D5" i="12"/>
  <c r="BS27" i="12" l="1"/>
  <c r="CF24" i="12"/>
  <c r="BS25" i="12"/>
  <c r="CF27" i="12"/>
  <c r="H25" i="2"/>
  <c r="P23" i="12" s="1"/>
  <c r="H24" i="2"/>
  <c r="P22" i="12" s="1"/>
  <c r="CJ22" i="12"/>
  <c r="D21" i="12"/>
  <c r="D20" i="12"/>
  <c r="D16" i="12"/>
  <c r="D12" i="12"/>
  <c r="D8" i="12"/>
  <c r="D4" i="12"/>
  <c r="D23" i="12"/>
  <c r="D19" i="12"/>
  <c r="D15" i="12"/>
  <c r="D11" i="12"/>
  <c r="D7" i="12"/>
  <c r="D3" i="12"/>
  <c r="D22" i="12"/>
  <c r="D18" i="12"/>
  <c r="D14" i="12"/>
  <c r="D10" i="12"/>
  <c r="D6" i="12"/>
  <c r="D17" i="12"/>
  <c r="D13" i="12"/>
  <c r="D9" i="12"/>
  <c r="H25" i="7"/>
  <c r="H25" i="6"/>
  <c r="H25" i="10"/>
  <c r="AH23" i="12" s="1"/>
  <c r="H25" i="9"/>
  <c r="H24" i="9"/>
  <c r="H24" i="5"/>
  <c r="H25" i="5"/>
  <c r="H24" i="7"/>
  <c r="H25" i="14"/>
  <c r="H24" i="14"/>
  <c r="H24" i="6"/>
  <c r="H25" i="8"/>
  <c r="H24" i="8"/>
  <c r="H24" i="10"/>
  <c r="AH22" i="12" s="1"/>
  <c r="H24" i="11"/>
  <c r="V22" i="12" s="1"/>
  <c r="H25" i="11"/>
  <c r="V23" i="12" s="1"/>
  <c r="K25" i="5" l="1"/>
  <c r="BO23" i="12" s="1"/>
  <c r="BL23" i="12"/>
  <c r="BL22" i="12"/>
  <c r="BF23" i="12"/>
  <c r="K24" i="7"/>
  <c r="BI22" i="12" s="1"/>
  <c r="BF22" i="12"/>
  <c r="AZ23" i="12"/>
  <c r="AZ22" i="12"/>
  <c r="BS22" i="12" s="1"/>
  <c r="AT22" i="12"/>
  <c r="AT23" i="12"/>
  <c r="AN23" i="12"/>
  <c r="AN22" i="12"/>
  <c r="AB22" i="12"/>
  <c r="AB23" i="12"/>
  <c r="K25" i="7"/>
  <c r="BI23" i="12" s="1"/>
  <c r="J24" i="11"/>
  <c r="X22" i="12" s="1"/>
  <c r="BX22" i="12" s="1"/>
  <c r="J25" i="11"/>
  <c r="X23" i="12" s="1"/>
  <c r="BX23" i="12" s="1"/>
  <c r="K25" i="2"/>
  <c r="S23" i="12" s="1"/>
  <c r="J25" i="7"/>
  <c r="BH23" i="12" s="1"/>
  <c r="CD23" i="12" s="1"/>
  <c r="K24" i="9"/>
  <c r="AE22" i="12" s="1"/>
  <c r="J24" i="9"/>
  <c r="AD22" i="12" s="1"/>
  <c r="BY22" i="12" s="1"/>
  <c r="J25" i="9"/>
  <c r="AD23" i="12" s="1"/>
  <c r="BY23" i="12" s="1"/>
  <c r="K25" i="9"/>
  <c r="AE23" i="12" s="1"/>
  <c r="J25" i="2"/>
  <c r="R23" i="12" s="1"/>
  <c r="BW23" i="12" s="1"/>
  <c r="K24" i="11"/>
  <c r="Y22" i="12" s="1"/>
  <c r="J25" i="14"/>
  <c r="J25" i="6"/>
  <c r="AV23" i="12" s="1"/>
  <c r="CB23" i="12" s="1"/>
  <c r="K25" i="6"/>
  <c r="AW23" i="12" s="1"/>
  <c r="K24" i="8"/>
  <c r="AQ22" i="12" s="1"/>
  <c r="J24" i="8"/>
  <c r="AP22" i="12" s="1"/>
  <c r="CA22" i="12" s="1"/>
  <c r="J25" i="10"/>
  <c r="AJ23" i="12" s="1"/>
  <c r="BZ23" i="12" s="1"/>
  <c r="K25" i="10"/>
  <c r="AK23" i="12" s="1"/>
  <c r="K24" i="2"/>
  <c r="S22" i="12" s="1"/>
  <c r="J24" i="5"/>
  <c r="BN22" i="12" s="1"/>
  <c r="CE22" i="12" s="1"/>
  <c r="K24" i="5"/>
  <c r="BO22" i="12" s="1"/>
  <c r="J24" i="7"/>
  <c r="BH22" i="12" s="1"/>
  <c r="CD22" i="12" s="1"/>
  <c r="K25" i="14"/>
  <c r="BC23" i="12" s="1"/>
  <c r="K24" i="14"/>
  <c r="BC22" i="12" s="1"/>
  <c r="K24" i="6"/>
  <c r="AW22" i="12" s="1"/>
  <c r="J24" i="6"/>
  <c r="AV22" i="12" s="1"/>
  <c r="CB22" i="12" s="1"/>
  <c r="K25" i="8"/>
  <c r="AQ23" i="12" s="1"/>
  <c r="J25" i="8"/>
  <c r="AP23" i="12" s="1"/>
  <c r="CA23" i="12" s="1"/>
  <c r="K24" i="10"/>
  <c r="AK22" i="12" s="1"/>
  <c r="J24" i="10"/>
  <c r="AJ22" i="12" s="1"/>
  <c r="BZ22" i="12" s="1"/>
  <c r="J25" i="5"/>
  <c r="BN23" i="12" s="1"/>
  <c r="CE23" i="12" s="1"/>
  <c r="J24" i="14"/>
  <c r="K25" i="11"/>
  <c r="Y23" i="12" s="1"/>
  <c r="J24" i="2"/>
  <c r="R22" i="12" s="1"/>
  <c r="BW22" i="12" s="1"/>
  <c r="BR23" i="12" l="1"/>
  <c r="BB23" i="12"/>
  <c r="CC23" i="12"/>
  <c r="CC22" i="12"/>
  <c r="BB22" i="12"/>
  <c r="BR22" i="12"/>
  <c r="CF23" i="12"/>
  <c r="BS23" i="12"/>
  <c r="CF22" i="12"/>
  <c r="E5" i="9"/>
  <c r="Z3" i="12" s="1"/>
  <c r="E6" i="9"/>
  <c r="Z4" i="12" s="1"/>
  <c r="E7" i="9"/>
  <c r="Z5" i="12" s="1"/>
  <c r="E8" i="9"/>
  <c r="Z6" i="12" s="1"/>
  <c r="E9" i="9"/>
  <c r="Z7" i="12" s="1"/>
  <c r="E10" i="9"/>
  <c r="Z8" i="12" s="1"/>
  <c r="E11" i="9"/>
  <c r="Z9" i="12" s="1"/>
  <c r="E12" i="9"/>
  <c r="Z10" i="12" s="1"/>
  <c r="E13" i="9"/>
  <c r="Z11" i="12" s="1"/>
  <c r="E14" i="9"/>
  <c r="Z12" i="12" s="1"/>
  <c r="E15" i="9"/>
  <c r="Z13" i="12" s="1"/>
  <c r="E16" i="9"/>
  <c r="Z14" i="12" s="1"/>
  <c r="E17" i="9"/>
  <c r="Z15" i="12" s="1"/>
  <c r="E18" i="9"/>
  <c r="Z16" i="12" s="1"/>
  <c r="E19" i="9"/>
  <c r="Z17" i="12" s="1"/>
  <c r="E20" i="9"/>
  <c r="Z18" i="12" s="1"/>
  <c r="E21" i="9"/>
  <c r="Z19" i="12" s="1"/>
  <c r="E22" i="9"/>
  <c r="Z20" i="12" s="1"/>
  <c r="E23" i="9"/>
  <c r="Z21" i="12" s="1"/>
  <c r="G20" i="9" l="1"/>
  <c r="H20" i="9" l="1"/>
  <c r="J20" i="9" s="1"/>
  <c r="AD18" i="12" s="1"/>
  <c r="BY18" i="12" s="1"/>
  <c r="AA18" i="12"/>
  <c r="E20" i="14"/>
  <c r="AX18" i="12" s="1"/>
  <c r="K20" i="9" l="1"/>
  <c r="AE18" i="12" s="1"/>
  <c r="AB18" i="12"/>
  <c r="C4" i="2"/>
  <c r="G23" i="14"/>
  <c r="AY21" i="12" s="1"/>
  <c r="E23" i="14"/>
  <c r="AX21" i="12" s="1"/>
  <c r="G22" i="14"/>
  <c r="AY20" i="12" s="1"/>
  <c r="E22" i="14"/>
  <c r="AX20" i="12" s="1"/>
  <c r="G21" i="14"/>
  <c r="AY19" i="12" s="1"/>
  <c r="E21" i="14"/>
  <c r="AX19" i="12" s="1"/>
  <c r="G20" i="14"/>
  <c r="AY18" i="12" s="1"/>
  <c r="G19" i="14"/>
  <c r="AY17" i="12" s="1"/>
  <c r="E19" i="14"/>
  <c r="AX17" i="12" s="1"/>
  <c r="G18" i="14"/>
  <c r="AY16" i="12" s="1"/>
  <c r="E18" i="14"/>
  <c r="AX16" i="12" s="1"/>
  <c r="G17" i="14"/>
  <c r="AY15" i="12" s="1"/>
  <c r="E17" i="14"/>
  <c r="AX15" i="12" s="1"/>
  <c r="G16" i="14"/>
  <c r="AY14" i="12" s="1"/>
  <c r="E16" i="14"/>
  <c r="AX14" i="12" s="1"/>
  <c r="G15" i="14"/>
  <c r="AY13" i="12" s="1"/>
  <c r="E15" i="14"/>
  <c r="AX13" i="12" s="1"/>
  <c r="G14" i="14"/>
  <c r="AY12" i="12" s="1"/>
  <c r="E14" i="14"/>
  <c r="AX12" i="12" s="1"/>
  <c r="G13" i="14"/>
  <c r="AY11" i="12" s="1"/>
  <c r="E13" i="14"/>
  <c r="AX11" i="12" s="1"/>
  <c r="G12" i="14"/>
  <c r="AY10" i="12" s="1"/>
  <c r="E12" i="14"/>
  <c r="AX10" i="12" s="1"/>
  <c r="G11" i="14"/>
  <c r="AY9" i="12" s="1"/>
  <c r="E11" i="14"/>
  <c r="AX9" i="12" s="1"/>
  <c r="G10" i="14"/>
  <c r="AY8" i="12" s="1"/>
  <c r="E10" i="14"/>
  <c r="AX8" i="12" s="1"/>
  <c r="G9" i="14"/>
  <c r="AY7" i="12" s="1"/>
  <c r="E9" i="14"/>
  <c r="AX7" i="12" s="1"/>
  <c r="G8" i="14"/>
  <c r="AY6" i="12" s="1"/>
  <c r="E8" i="14"/>
  <c r="AX6" i="12" s="1"/>
  <c r="G7" i="14"/>
  <c r="AY5" i="12" s="1"/>
  <c r="E7" i="14"/>
  <c r="AX5" i="12" s="1"/>
  <c r="G6" i="14"/>
  <c r="AY4" i="12" s="1"/>
  <c r="E6" i="14"/>
  <c r="AX4" i="12" s="1"/>
  <c r="G5" i="14"/>
  <c r="AY3" i="12" s="1"/>
  <c r="E5" i="14"/>
  <c r="AX3" i="12" s="1"/>
  <c r="G4" i="14"/>
  <c r="AY2" i="12" s="1"/>
  <c r="E4" i="14"/>
  <c r="AX2" i="12" s="1"/>
  <c r="C4" i="14"/>
  <c r="B4" i="14"/>
  <c r="A4" i="14"/>
  <c r="H23" i="14" l="1"/>
  <c r="H14" i="14"/>
  <c r="H5" i="14"/>
  <c r="H12" i="14"/>
  <c r="H16" i="14"/>
  <c r="H18" i="14"/>
  <c r="H21" i="14"/>
  <c r="H6" i="14"/>
  <c r="H7" i="14"/>
  <c r="H8" i="14"/>
  <c r="H9" i="14"/>
  <c r="H10" i="14"/>
  <c r="H11" i="14"/>
  <c r="H13" i="14"/>
  <c r="H15" i="14"/>
  <c r="H17" i="14"/>
  <c r="H19" i="14"/>
  <c r="H20" i="14"/>
  <c r="H22" i="14"/>
  <c r="H4" i="14"/>
  <c r="AZ8" i="12" l="1"/>
  <c r="I10" i="14"/>
  <c r="BA8" i="12" s="1"/>
  <c r="AZ15" i="12"/>
  <c r="I17" i="14"/>
  <c r="BA15" i="12" s="1"/>
  <c r="AZ13" i="12"/>
  <c r="I15" i="14"/>
  <c r="BA13" i="12" s="1"/>
  <c r="I13" i="14"/>
  <c r="BA11" i="12" s="1"/>
  <c r="AZ11" i="12"/>
  <c r="I16" i="14"/>
  <c r="BA14" i="12" s="1"/>
  <c r="AZ14" i="12"/>
  <c r="I22" i="14"/>
  <c r="BA20" i="12" s="1"/>
  <c r="AZ20" i="12"/>
  <c r="AZ7" i="12"/>
  <c r="I9" i="14"/>
  <c r="BA7" i="12" s="1"/>
  <c r="I5" i="14"/>
  <c r="BA3" i="12" s="1"/>
  <c r="AZ3" i="12"/>
  <c r="I21" i="14"/>
  <c r="BA19" i="12" s="1"/>
  <c r="AZ19" i="12"/>
  <c r="AZ16" i="12"/>
  <c r="I18" i="14"/>
  <c r="BA16" i="12" s="1"/>
  <c r="I4" i="14"/>
  <c r="I30" i="14"/>
  <c r="BA28" i="12" s="1"/>
  <c r="I32" i="14"/>
  <c r="BA30" i="12" s="1"/>
  <c r="I31" i="14"/>
  <c r="BA29" i="12" s="1"/>
  <c r="I26" i="14"/>
  <c r="BA24" i="12" s="1"/>
  <c r="I28" i="14"/>
  <c r="BA26" i="12" s="1"/>
  <c r="I29" i="14"/>
  <c r="BA27" i="12" s="1"/>
  <c r="I27" i="14"/>
  <c r="BA25" i="12" s="1"/>
  <c r="I25" i="14"/>
  <c r="BA23" i="12" s="1"/>
  <c r="I24" i="14"/>
  <c r="BA22" i="12" s="1"/>
  <c r="I8" i="14"/>
  <c r="BA6" i="12" s="1"/>
  <c r="AZ6" i="12"/>
  <c r="I14" i="14"/>
  <c r="BA12" i="12" s="1"/>
  <c r="AZ12" i="12"/>
  <c r="I6" i="14"/>
  <c r="BA4" i="12" s="1"/>
  <c r="AZ4" i="12"/>
  <c r="AZ9" i="12"/>
  <c r="I11" i="14"/>
  <c r="BA9" i="12" s="1"/>
  <c r="AZ10" i="12"/>
  <c r="I12" i="14"/>
  <c r="BA10" i="12" s="1"/>
  <c r="AZ18" i="12"/>
  <c r="I20" i="14"/>
  <c r="BA18" i="12" s="1"/>
  <c r="AZ17" i="12"/>
  <c r="I19" i="14"/>
  <c r="BA17" i="12" s="1"/>
  <c r="AZ5" i="12"/>
  <c r="I7" i="14"/>
  <c r="BA5" i="12" s="1"/>
  <c r="AZ21" i="12"/>
  <c r="I23" i="14"/>
  <c r="BA21" i="12" s="1"/>
  <c r="BA2" i="12"/>
  <c r="K11" i="14"/>
  <c r="BC9" i="12" s="1"/>
  <c r="J11" i="14"/>
  <c r="K17" i="14"/>
  <c r="BC15" i="12" s="1"/>
  <c r="J17" i="14"/>
  <c r="K10" i="14"/>
  <c r="BC8" i="12" s="1"/>
  <c r="J10" i="14"/>
  <c r="K6" i="14"/>
  <c r="BC4" i="12" s="1"/>
  <c r="J6" i="14"/>
  <c r="K12" i="14"/>
  <c r="BC10" i="12" s="1"/>
  <c r="J12" i="14"/>
  <c r="K22" i="14"/>
  <c r="BC20" i="12" s="1"/>
  <c r="J22" i="14"/>
  <c r="K9" i="14"/>
  <c r="BC7" i="12" s="1"/>
  <c r="J9" i="14"/>
  <c r="K21" i="14"/>
  <c r="BC19" i="12" s="1"/>
  <c r="J21" i="14"/>
  <c r="K5" i="14"/>
  <c r="BC3" i="12" s="1"/>
  <c r="J5" i="14"/>
  <c r="K4" i="14"/>
  <c r="BC2" i="12" s="1"/>
  <c r="J4" i="14"/>
  <c r="CC2" i="12" s="1"/>
  <c r="J15" i="14"/>
  <c r="K20" i="14"/>
  <c r="BC18" i="12" s="1"/>
  <c r="J20" i="14"/>
  <c r="K13" i="14"/>
  <c r="BC11" i="12" s="1"/>
  <c r="J13" i="14"/>
  <c r="K8" i="14"/>
  <c r="BC6" i="12" s="1"/>
  <c r="J8" i="14"/>
  <c r="K18" i="14"/>
  <c r="BC16" i="12" s="1"/>
  <c r="J18" i="14"/>
  <c r="K14" i="14"/>
  <c r="BC12" i="12" s="1"/>
  <c r="J14" i="14"/>
  <c r="K19" i="14"/>
  <c r="BC17" i="12" s="1"/>
  <c r="J19" i="14"/>
  <c r="K7" i="14"/>
  <c r="BC5" i="12" s="1"/>
  <c r="J7" i="14"/>
  <c r="K16" i="14"/>
  <c r="BC14" i="12" s="1"/>
  <c r="J16" i="14"/>
  <c r="K23" i="14"/>
  <c r="BC21" i="12" s="1"/>
  <c r="J23" i="14"/>
  <c r="K15" i="14"/>
  <c r="BC13" i="12" s="1"/>
  <c r="AZ2" i="12"/>
  <c r="E23" i="5"/>
  <c r="BJ21" i="12" s="1"/>
  <c r="G23" i="5"/>
  <c r="BK21" i="12" s="1"/>
  <c r="BB12" i="12" l="1"/>
  <c r="CC12" i="12"/>
  <c r="BB20" i="12"/>
  <c r="CC20" i="12"/>
  <c r="BB15" i="12"/>
  <c r="CC15" i="12"/>
  <c r="BB21" i="12"/>
  <c r="CC21" i="12"/>
  <c r="CC18" i="12"/>
  <c r="BB18" i="12"/>
  <c r="BB7" i="12"/>
  <c r="CC7" i="12"/>
  <c r="BB13" i="12"/>
  <c r="CC13" i="12"/>
  <c r="CC8" i="12"/>
  <c r="BB8" i="12"/>
  <c r="CC14" i="12"/>
  <c r="BB14" i="12"/>
  <c r="CC3" i="12"/>
  <c r="BB3" i="12"/>
  <c r="CC10" i="12"/>
  <c r="BB10" i="12"/>
  <c r="CC9" i="12"/>
  <c r="BB9" i="12"/>
  <c r="CC16" i="12"/>
  <c r="BB16" i="12"/>
  <c r="CC6" i="12"/>
  <c r="BB6" i="12"/>
  <c r="CC11" i="12"/>
  <c r="BB11" i="12"/>
  <c r="BB5" i="12"/>
  <c r="CC5" i="12"/>
  <c r="CC17" i="12"/>
  <c r="BB17" i="12"/>
  <c r="CC19" i="12"/>
  <c r="BB19" i="12"/>
  <c r="BB4" i="12"/>
  <c r="CC4" i="12"/>
  <c r="BB2" i="12"/>
  <c r="H23" i="5"/>
  <c r="BL21" i="12" l="1"/>
  <c r="K23" i="5"/>
  <c r="BO21" i="12" s="1"/>
  <c r="J23" i="5"/>
  <c r="BN21" i="12" s="1"/>
  <c r="CE21" i="12" s="1"/>
  <c r="L2" i="12"/>
  <c r="M2" i="12"/>
  <c r="A2" i="12" l="1"/>
  <c r="G5" i="5" l="1"/>
  <c r="BK3" i="12" s="1"/>
  <c r="G6" i="5"/>
  <c r="BK4" i="12" s="1"/>
  <c r="G7" i="5"/>
  <c r="BK5" i="12" s="1"/>
  <c r="G8" i="5"/>
  <c r="BK6" i="12" s="1"/>
  <c r="G9" i="5"/>
  <c r="BK7" i="12" s="1"/>
  <c r="G10" i="5"/>
  <c r="BK8" i="12" s="1"/>
  <c r="G11" i="5"/>
  <c r="BK9" i="12" s="1"/>
  <c r="G12" i="5"/>
  <c r="BK10" i="12" s="1"/>
  <c r="G13" i="5"/>
  <c r="BK11" i="12" s="1"/>
  <c r="G14" i="5"/>
  <c r="BK12" i="12" s="1"/>
  <c r="G15" i="5"/>
  <c r="BK13" i="12" s="1"/>
  <c r="G16" i="5"/>
  <c r="BK14" i="12" s="1"/>
  <c r="G17" i="5"/>
  <c r="BK15" i="12" s="1"/>
  <c r="G18" i="5"/>
  <c r="BK16" i="12" s="1"/>
  <c r="G19" i="5"/>
  <c r="BK17" i="12" s="1"/>
  <c r="G20" i="5"/>
  <c r="BK18" i="12" s="1"/>
  <c r="G21" i="5"/>
  <c r="BK19" i="12" s="1"/>
  <c r="G22" i="5"/>
  <c r="BK20" i="12" s="1"/>
  <c r="G4" i="5"/>
  <c r="BK2" i="12" s="1"/>
  <c r="G5" i="7"/>
  <c r="BE3" i="12" s="1"/>
  <c r="G6" i="7"/>
  <c r="BE4" i="12" s="1"/>
  <c r="G7" i="7"/>
  <c r="BE5" i="12" s="1"/>
  <c r="G8" i="7"/>
  <c r="BE6" i="12" s="1"/>
  <c r="G9" i="7"/>
  <c r="BE7" i="12" s="1"/>
  <c r="G10" i="7"/>
  <c r="BE8" i="12" s="1"/>
  <c r="G11" i="7"/>
  <c r="BE9" i="12" s="1"/>
  <c r="G12" i="7"/>
  <c r="BE10" i="12" s="1"/>
  <c r="G13" i="7"/>
  <c r="BE11" i="12" s="1"/>
  <c r="G14" i="7"/>
  <c r="BE12" i="12" s="1"/>
  <c r="G15" i="7"/>
  <c r="BE13" i="12" s="1"/>
  <c r="G16" i="7"/>
  <c r="BE14" i="12" s="1"/>
  <c r="G17" i="7"/>
  <c r="BE15" i="12" s="1"/>
  <c r="G18" i="7"/>
  <c r="BE16" i="12" s="1"/>
  <c r="G19" i="7"/>
  <c r="BE17" i="12" s="1"/>
  <c r="G20" i="7"/>
  <c r="BE18" i="12" s="1"/>
  <c r="G21" i="7"/>
  <c r="BE19" i="12" s="1"/>
  <c r="G22" i="7"/>
  <c r="BE20" i="12" s="1"/>
  <c r="G23" i="7"/>
  <c r="BE21" i="12" s="1"/>
  <c r="G4" i="7"/>
  <c r="BE2" i="12" s="1"/>
  <c r="G5" i="6"/>
  <c r="AS3" i="12" s="1"/>
  <c r="G6" i="6"/>
  <c r="AS4" i="12" s="1"/>
  <c r="G7" i="6"/>
  <c r="AS5" i="12" s="1"/>
  <c r="G8" i="6"/>
  <c r="AS6" i="12" s="1"/>
  <c r="G9" i="6"/>
  <c r="AS7" i="12" s="1"/>
  <c r="G10" i="6"/>
  <c r="AS8" i="12" s="1"/>
  <c r="G11" i="6"/>
  <c r="AS9" i="12" s="1"/>
  <c r="G12" i="6"/>
  <c r="AS10" i="12" s="1"/>
  <c r="G13" i="6"/>
  <c r="AS11" i="12" s="1"/>
  <c r="G14" i="6"/>
  <c r="AS12" i="12" s="1"/>
  <c r="G15" i="6"/>
  <c r="AS13" i="12" s="1"/>
  <c r="G16" i="6"/>
  <c r="AS14" i="12" s="1"/>
  <c r="G17" i="6"/>
  <c r="AS15" i="12" s="1"/>
  <c r="G18" i="6"/>
  <c r="AS16" i="12" s="1"/>
  <c r="G19" i="6"/>
  <c r="AS17" i="12" s="1"/>
  <c r="G20" i="6"/>
  <c r="AS18" i="12" s="1"/>
  <c r="G21" i="6"/>
  <c r="AS19" i="12" s="1"/>
  <c r="G22" i="6"/>
  <c r="AS20" i="12" s="1"/>
  <c r="G23" i="6"/>
  <c r="AS21" i="12" s="1"/>
  <c r="G4" i="6"/>
  <c r="AS2" i="12" s="1"/>
  <c r="G5" i="8"/>
  <c r="AM3" i="12" s="1"/>
  <c r="G6" i="8"/>
  <c r="AM4" i="12" s="1"/>
  <c r="G7" i="8"/>
  <c r="AM5" i="12" s="1"/>
  <c r="G8" i="8"/>
  <c r="AM6" i="12" s="1"/>
  <c r="G9" i="8"/>
  <c r="AM7" i="12" s="1"/>
  <c r="G10" i="8"/>
  <c r="AM8" i="12" s="1"/>
  <c r="G11" i="8"/>
  <c r="AM9" i="12" s="1"/>
  <c r="G12" i="8"/>
  <c r="AM10" i="12" s="1"/>
  <c r="G13" i="8"/>
  <c r="AM11" i="12" s="1"/>
  <c r="G14" i="8"/>
  <c r="AM12" i="12" s="1"/>
  <c r="G15" i="8"/>
  <c r="AM13" i="12" s="1"/>
  <c r="G16" i="8"/>
  <c r="AM14" i="12" s="1"/>
  <c r="G17" i="8"/>
  <c r="AM15" i="12" s="1"/>
  <c r="G18" i="8"/>
  <c r="AM16" i="12" s="1"/>
  <c r="G19" i="8"/>
  <c r="AM17" i="12" s="1"/>
  <c r="G20" i="8"/>
  <c r="AM18" i="12" s="1"/>
  <c r="G21" i="8"/>
  <c r="AM19" i="12" s="1"/>
  <c r="G22" i="8"/>
  <c r="AM20" i="12" s="1"/>
  <c r="G23" i="8"/>
  <c r="AM21" i="12" s="1"/>
  <c r="G4" i="8"/>
  <c r="AM2" i="12" s="1"/>
  <c r="G5" i="10"/>
  <c r="AG3" i="12" s="1"/>
  <c r="G6" i="10"/>
  <c r="AG4" i="12" s="1"/>
  <c r="G7" i="10"/>
  <c r="AG5" i="12" s="1"/>
  <c r="G8" i="10"/>
  <c r="AG6" i="12" s="1"/>
  <c r="G9" i="10"/>
  <c r="AG7" i="12" s="1"/>
  <c r="G10" i="10"/>
  <c r="AG8" i="12" s="1"/>
  <c r="G11" i="10"/>
  <c r="AG9" i="12" s="1"/>
  <c r="G12" i="10"/>
  <c r="AG10" i="12" s="1"/>
  <c r="G13" i="10"/>
  <c r="AG11" i="12" s="1"/>
  <c r="G14" i="10"/>
  <c r="AG12" i="12" s="1"/>
  <c r="G15" i="10"/>
  <c r="AG13" i="12" s="1"/>
  <c r="G16" i="10"/>
  <c r="AG14" i="12" s="1"/>
  <c r="G17" i="10"/>
  <c r="AG15" i="12" s="1"/>
  <c r="G18" i="10"/>
  <c r="AG16" i="12" s="1"/>
  <c r="G19" i="10"/>
  <c r="AG17" i="12" s="1"/>
  <c r="G20" i="10"/>
  <c r="AG18" i="12" s="1"/>
  <c r="G21" i="10"/>
  <c r="AG19" i="12" s="1"/>
  <c r="G22" i="10"/>
  <c r="AG20" i="12" s="1"/>
  <c r="G23" i="10"/>
  <c r="AG21" i="12" s="1"/>
  <c r="G4" i="10"/>
  <c r="AG2" i="12" s="1"/>
  <c r="G5" i="9"/>
  <c r="AA3" i="12" s="1"/>
  <c r="G6" i="9"/>
  <c r="AA4" i="12" s="1"/>
  <c r="G7" i="9"/>
  <c r="AA5" i="12" s="1"/>
  <c r="G8" i="9"/>
  <c r="AA6" i="12" s="1"/>
  <c r="G9" i="9"/>
  <c r="AA7" i="12" s="1"/>
  <c r="G10" i="9"/>
  <c r="AA8" i="12" s="1"/>
  <c r="G11" i="9"/>
  <c r="AA9" i="12" s="1"/>
  <c r="G12" i="9"/>
  <c r="AA10" i="12" s="1"/>
  <c r="G13" i="9"/>
  <c r="AA11" i="12" s="1"/>
  <c r="G14" i="9"/>
  <c r="AA12" i="12" s="1"/>
  <c r="G15" i="9"/>
  <c r="AA13" i="12" s="1"/>
  <c r="G16" i="9"/>
  <c r="AA14" i="12" s="1"/>
  <c r="G17" i="9"/>
  <c r="AA15" i="12" s="1"/>
  <c r="G18" i="9"/>
  <c r="AA16" i="12" s="1"/>
  <c r="G19" i="9"/>
  <c r="AA17" i="12" s="1"/>
  <c r="G21" i="9"/>
  <c r="AA19" i="12" s="1"/>
  <c r="G22" i="9"/>
  <c r="AA20" i="12" s="1"/>
  <c r="G23" i="9"/>
  <c r="AA21" i="12" s="1"/>
  <c r="G4" i="9"/>
  <c r="AA2" i="12" s="1"/>
  <c r="G4" i="11"/>
  <c r="U2" i="12" s="1"/>
  <c r="G5" i="11"/>
  <c r="U3" i="12" s="1"/>
  <c r="G6" i="11"/>
  <c r="U4" i="12" s="1"/>
  <c r="G7" i="11"/>
  <c r="U5" i="12" s="1"/>
  <c r="G8" i="11"/>
  <c r="U6" i="12" s="1"/>
  <c r="G9" i="11"/>
  <c r="U7" i="12" s="1"/>
  <c r="G10" i="11"/>
  <c r="U8" i="12" s="1"/>
  <c r="G11" i="11"/>
  <c r="U9" i="12" s="1"/>
  <c r="G12" i="11"/>
  <c r="U10" i="12" s="1"/>
  <c r="G13" i="11"/>
  <c r="U11" i="12" s="1"/>
  <c r="G14" i="11"/>
  <c r="U12" i="12" s="1"/>
  <c r="G15" i="11"/>
  <c r="U13" i="12" s="1"/>
  <c r="G16" i="11"/>
  <c r="U14" i="12" s="1"/>
  <c r="G17" i="11"/>
  <c r="U15" i="12" s="1"/>
  <c r="G18" i="11"/>
  <c r="U16" i="12" s="1"/>
  <c r="G19" i="11"/>
  <c r="U17" i="12" s="1"/>
  <c r="G20" i="11"/>
  <c r="U18" i="12" s="1"/>
  <c r="G21" i="11"/>
  <c r="U19" i="12" s="1"/>
  <c r="G22" i="11"/>
  <c r="U20" i="12" s="1"/>
  <c r="G23" i="11"/>
  <c r="U21" i="12" s="1"/>
  <c r="G5" i="2"/>
  <c r="O3" i="12" s="1"/>
  <c r="O4" i="12"/>
  <c r="G7" i="2"/>
  <c r="O5" i="12" s="1"/>
  <c r="G8" i="2"/>
  <c r="O6" i="12" s="1"/>
  <c r="G9" i="2"/>
  <c r="O7" i="12" s="1"/>
  <c r="G10" i="2"/>
  <c r="O8" i="12" s="1"/>
  <c r="G11" i="2"/>
  <c r="O9" i="12" s="1"/>
  <c r="G12" i="2"/>
  <c r="O10" i="12" s="1"/>
  <c r="G13" i="2"/>
  <c r="O11" i="12" s="1"/>
  <c r="G14" i="2"/>
  <c r="O12" i="12" s="1"/>
  <c r="G15" i="2"/>
  <c r="O13" i="12" s="1"/>
  <c r="G16" i="2"/>
  <c r="O14" i="12" s="1"/>
  <c r="G17" i="2"/>
  <c r="O15" i="12" s="1"/>
  <c r="G18" i="2"/>
  <c r="O16" i="12" s="1"/>
  <c r="G19" i="2"/>
  <c r="O17" i="12" s="1"/>
  <c r="G20" i="2"/>
  <c r="O18" i="12" s="1"/>
  <c r="G21" i="2"/>
  <c r="O19" i="12" s="1"/>
  <c r="G22" i="2"/>
  <c r="O20" i="12" s="1"/>
  <c r="G23" i="2"/>
  <c r="O21" i="12" s="1"/>
  <c r="G4" i="2"/>
  <c r="O2" i="12" s="1"/>
  <c r="B2" i="12"/>
  <c r="C2" i="12"/>
  <c r="E23" i="11"/>
  <c r="T21" i="12" s="1"/>
  <c r="E22" i="11"/>
  <c r="T20" i="12" s="1"/>
  <c r="E21" i="11"/>
  <c r="T19" i="12" s="1"/>
  <c r="E20" i="11"/>
  <c r="T18" i="12" s="1"/>
  <c r="E19" i="11"/>
  <c r="E18" i="11"/>
  <c r="T16" i="12" s="1"/>
  <c r="E17" i="11"/>
  <c r="T15" i="12" s="1"/>
  <c r="E16" i="11"/>
  <c r="T14" i="12" s="1"/>
  <c r="E15" i="11"/>
  <c r="E14" i="11"/>
  <c r="T12" i="12" s="1"/>
  <c r="E13" i="11"/>
  <c r="T11" i="12" s="1"/>
  <c r="E12" i="11"/>
  <c r="T10" i="12" s="1"/>
  <c r="E11" i="11"/>
  <c r="E10" i="11"/>
  <c r="T8" i="12" s="1"/>
  <c r="E9" i="11"/>
  <c r="T7" i="12" s="1"/>
  <c r="E8" i="11"/>
  <c r="T6" i="12" s="1"/>
  <c r="E7" i="11"/>
  <c r="T5" i="12" s="1"/>
  <c r="E6" i="11"/>
  <c r="T4" i="12" s="1"/>
  <c r="E5" i="11"/>
  <c r="E4" i="11"/>
  <c r="T2" i="12" s="1"/>
  <c r="C4" i="11"/>
  <c r="B4" i="11"/>
  <c r="A4" i="11"/>
  <c r="E23" i="10"/>
  <c r="AF21" i="12" s="1"/>
  <c r="E22" i="10"/>
  <c r="AF20" i="12" s="1"/>
  <c r="E21" i="10"/>
  <c r="AF19" i="12" s="1"/>
  <c r="E20" i="10"/>
  <c r="AF18" i="12" s="1"/>
  <c r="E19" i="10"/>
  <c r="AF17" i="12" s="1"/>
  <c r="E18" i="10"/>
  <c r="AF16" i="12" s="1"/>
  <c r="E17" i="10"/>
  <c r="AF15" i="12" s="1"/>
  <c r="E16" i="10"/>
  <c r="AF14" i="12" s="1"/>
  <c r="E15" i="10"/>
  <c r="AF13" i="12" s="1"/>
  <c r="E14" i="10"/>
  <c r="AF12" i="12" s="1"/>
  <c r="E13" i="10"/>
  <c r="AF11" i="12" s="1"/>
  <c r="E11" i="10"/>
  <c r="E10" i="10"/>
  <c r="E9" i="10"/>
  <c r="AF7" i="12" s="1"/>
  <c r="E8" i="10"/>
  <c r="AF6" i="12" s="1"/>
  <c r="E7" i="10"/>
  <c r="AF5" i="12" s="1"/>
  <c r="E6" i="10"/>
  <c r="AF4" i="12" s="1"/>
  <c r="E5" i="10"/>
  <c r="AF3" i="12" s="1"/>
  <c r="E4" i="10"/>
  <c r="C4" i="10"/>
  <c r="B4" i="10"/>
  <c r="A4" i="10"/>
  <c r="E4" i="9"/>
  <c r="C4" i="9"/>
  <c r="B4" i="9"/>
  <c r="E23" i="8"/>
  <c r="AL21" i="12" s="1"/>
  <c r="E22" i="8"/>
  <c r="AL20" i="12" s="1"/>
  <c r="E21" i="8"/>
  <c r="AL19" i="12" s="1"/>
  <c r="E20" i="8"/>
  <c r="AL18" i="12" s="1"/>
  <c r="E19" i="8"/>
  <c r="AL17" i="12" s="1"/>
  <c r="E18" i="8"/>
  <c r="AL16" i="12" s="1"/>
  <c r="E17" i="8"/>
  <c r="AL15" i="12" s="1"/>
  <c r="E16" i="8"/>
  <c r="AL14" i="12" s="1"/>
  <c r="E15" i="8"/>
  <c r="AL13" i="12" s="1"/>
  <c r="E14" i="8"/>
  <c r="AL12" i="12" s="1"/>
  <c r="E13" i="8"/>
  <c r="AL11" i="12" s="1"/>
  <c r="E12" i="8"/>
  <c r="AL10" i="12" s="1"/>
  <c r="E11" i="8"/>
  <c r="AL9" i="12" s="1"/>
  <c r="E10" i="8"/>
  <c r="AL8" i="12" s="1"/>
  <c r="E9" i="8"/>
  <c r="AL7" i="12" s="1"/>
  <c r="E8" i="8"/>
  <c r="AL6" i="12" s="1"/>
  <c r="E7" i="8"/>
  <c r="AL5" i="12" s="1"/>
  <c r="E6" i="8"/>
  <c r="AL4" i="12" s="1"/>
  <c r="E5" i="8"/>
  <c r="AL3" i="12" s="1"/>
  <c r="E4" i="8"/>
  <c r="C4" i="8"/>
  <c r="B4" i="8"/>
  <c r="A4" i="8"/>
  <c r="E23" i="7"/>
  <c r="BD21" i="12" s="1"/>
  <c r="E22" i="7"/>
  <c r="E21" i="7"/>
  <c r="BD19" i="12" s="1"/>
  <c r="E20" i="7"/>
  <c r="BD18" i="12" s="1"/>
  <c r="E19" i="7"/>
  <c r="BD17" i="12" s="1"/>
  <c r="E18" i="7"/>
  <c r="BD16" i="12" s="1"/>
  <c r="E17" i="7"/>
  <c r="BD15" i="12" s="1"/>
  <c r="E16" i="7"/>
  <c r="BD14" i="12" s="1"/>
  <c r="E15" i="7"/>
  <c r="BD13" i="12" s="1"/>
  <c r="E14" i="7"/>
  <c r="BD12" i="12" s="1"/>
  <c r="E13" i="7"/>
  <c r="BD11" i="12" s="1"/>
  <c r="E12" i="7"/>
  <c r="BD10" i="12" s="1"/>
  <c r="E11" i="7"/>
  <c r="BD9" i="12" s="1"/>
  <c r="E10" i="7"/>
  <c r="BD8" i="12" s="1"/>
  <c r="E9" i="7"/>
  <c r="BD7" i="12" s="1"/>
  <c r="E8" i="7"/>
  <c r="BD6" i="12" s="1"/>
  <c r="E7" i="7"/>
  <c r="BD5" i="12" s="1"/>
  <c r="E6" i="7"/>
  <c r="BD4" i="12" s="1"/>
  <c r="E5" i="7"/>
  <c r="BD3" i="12" s="1"/>
  <c r="E4" i="7"/>
  <c r="BD2" i="12" s="1"/>
  <c r="C4" i="7"/>
  <c r="B4" i="7"/>
  <c r="A4" i="7"/>
  <c r="E23" i="6"/>
  <c r="AR21" i="12" s="1"/>
  <c r="E22" i="6"/>
  <c r="AR20" i="12" s="1"/>
  <c r="E21" i="6"/>
  <c r="AR19" i="12" s="1"/>
  <c r="E20" i="6"/>
  <c r="AR18" i="12" s="1"/>
  <c r="E19" i="6"/>
  <c r="AR17" i="12" s="1"/>
  <c r="E18" i="6"/>
  <c r="AR16" i="12" s="1"/>
  <c r="E17" i="6"/>
  <c r="AR15" i="12" s="1"/>
  <c r="E16" i="6"/>
  <c r="AR14" i="12" s="1"/>
  <c r="E15" i="6"/>
  <c r="AR13" i="12" s="1"/>
  <c r="E14" i="6"/>
  <c r="AR12" i="12" s="1"/>
  <c r="E13" i="6"/>
  <c r="AR11" i="12" s="1"/>
  <c r="E12" i="6"/>
  <c r="AR10" i="12" s="1"/>
  <c r="E11" i="6"/>
  <c r="AR9" i="12" s="1"/>
  <c r="E10" i="6"/>
  <c r="AR8" i="12" s="1"/>
  <c r="E9" i="6"/>
  <c r="AR7" i="12" s="1"/>
  <c r="E8" i="6"/>
  <c r="AR6" i="12" s="1"/>
  <c r="E7" i="6"/>
  <c r="AR5" i="12" s="1"/>
  <c r="E6" i="6"/>
  <c r="AR4" i="12" s="1"/>
  <c r="E5" i="6"/>
  <c r="AR3" i="12" s="1"/>
  <c r="E4" i="6"/>
  <c r="C4" i="6"/>
  <c r="B4" i="6"/>
  <c r="A4" i="6"/>
  <c r="E22" i="5"/>
  <c r="BJ20" i="12" s="1"/>
  <c r="E21" i="5"/>
  <c r="BJ19" i="12" s="1"/>
  <c r="E20" i="5"/>
  <c r="BJ18" i="12" s="1"/>
  <c r="E19" i="5"/>
  <c r="BJ17" i="12" s="1"/>
  <c r="E18" i="5"/>
  <c r="BJ16" i="12" s="1"/>
  <c r="E17" i="5"/>
  <c r="E16" i="5"/>
  <c r="BJ14" i="12" s="1"/>
  <c r="E15" i="5"/>
  <c r="BJ13" i="12" s="1"/>
  <c r="E14" i="5"/>
  <c r="BJ12" i="12" s="1"/>
  <c r="E13" i="5"/>
  <c r="E12" i="5"/>
  <c r="BJ10" i="12" s="1"/>
  <c r="E11" i="5"/>
  <c r="BJ9" i="12" s="1"/>
  <c r="E10" i="5"/>
  <c r="BJ8" i="12" s="1"/>
  <c r="E9" i="5"/>
  <c r="BJ7" i="12" s="1"/>
  <c r="E8" i="5"/>
  <c r="BJ6" i="12" s="1"/>
  <c r="E7" i="5"/>
  <c r="BJ5" i="12" s="1"/>
  <c r="E6" i="5"/>
  <c r="BJ4" i="12" s="1"/>
  <c r="E5" i="5"/>
  <c r="BJ3" i="12" s="1"/>
  <c r="E4" i="5"/>
  <c r="BJ2" i="12" s="1"/>
  <c r="C4" i="5"/>
  <c r="B4" i="5"/>
  <c r="A4" i="5"/>
  <c r="E5" i="2"/>
  <c r="N3" i="12" s="1"/>
  <c r="E6" i="2"/>
  <c r="N4" i="12" s="1"/>
  <c r="E7" i="2"/>
  <c r="N5" i="12" s="1"/>
  <c r="E8" i="2"/>
  <c r="N6" i="12" s="1"/>
  <c r="E9" i="2"/>
  <c r="N7" i="12" s="1"/>
  <c r="E10" i="2"/>
  <c r="E11" i="2"/>
  <c r="E12" i="2"/>
  <c r="N10" i="12" s="1"/>
  <c r="E13" i="2"/>
  <c r="N11" i="12" s="1"/>
  <c r="E14" i="2"/>
  <c r="N12" i="12" s="1"/>
  <c r="E15" i="2"/>
  <c r="N13" i="12" s="1"/>
  <c r="E16" i="2"/>
  <c r="N14" i="12" s="1"/>
  <c r="E17" i="2"/>
  <c r="N15" i="12" s="1"/>
  <c r="E18" i="2"/>
  <c r="N16" i="12" s="1"/>
  <c r="E19" i="2"/>
  <c r="E20" i="2"/>
  <c r="E21" i="2"/>
  <c r="N19" i="12" s="1"/>
  <c r="E22" i="2"/>
  <c r="N20" i="12" s="1"/>
  <c r="E23" i="2"/>
  <c r="N21" i="12" s="1"/>
  <c r="E4" i="2"/>
  <c r="A4" i="2"/>
  <c r="H13" i="5" l="1"/>
  <c r="BJ11" i="12"/>
  <c r="H17" i="5"/>
  <c r="BJ15" i="12"/>
  <c r="H22" i="7"/>
  <c r="BD20" i="12"/>
  <c r="H10" i="10"/>
  <c r="AH8" i="12" s="1"/>
  <c r="AF8" i="12"/>
  <c r="H11" i="10"/>
  <c r="AH9" i="12" s="1"/>
  <c r="AF9" i="12"/>
  <c r="H11" i="11"/>
  <c r="V9" i="12" s="1"/>
  <c r="T9" i="12"/>
  <c r="H19" i="11"/>
  <c r="V17" i="12" s="1"/>
  <c r="T17" i="12"/>
  <c r="H15" i="11"/>
  <c r="V13" i="12" s="1"/>
  <c r="T13" i="12"/>
  <c r="H20" i="2"/>
  <c r="P18" i="12" s="1"/>
  <c r="N18" i="12"/>
  <c r="H19" i="2"/>
  <c r="P17" i="12" s="1"/>
  <c r="N17" i="12"/>
  <c r="H11" i="2"/>
  <c r="P9" i="12" s="1"/>
  <c r="N9" i="12"/>
  <c r="H10" i="2"/>
  <c r="P8" i="12" s="1"/>
  <c r="N8" i="12"/>
  <c r="H4" i="10"/>
  <c r="J4" i="10" s="1"/>
  <c r="AJ2" i="12" s="1"/>
  <c r="BZ2" i="12" s="1"/>
  <c r="H5" i="11"/>
  <c r="K5" i="11" s="1"/>
  <c r="Y3" i="12" s="1"/>
  <c r="T3" i="12"/>
  <c r="H8" i="2"/>
  <c r="P6" i="12" s="1"/>
  <c r="H15" i="2"/>
  <c r="P13" i="12" s="1"/>
  <c r="H7" i="2"/>
  <c r="P5" i="12" s="1"/>
  <c r="H22" i="5"/>
  <c r="H17" i="2"/>
  <c r="P15" i="12" s="1"/>
  <c r="H9" i="2"/>
  <c r="P7" i="12" s="1"/>
  <c r="H6" i="2"/>
  <c r="P4" i="12" s="1"/>
  <c r="H22" i="2"/>
  <c r="P20" i="12" s="1"/>
  <c r="H5" i="2"/>
  <c r="P3" i="12" s="1"/>
  <c r="H13" i="2"/>
  <c r="P11" i="12" s="1"/>
  <c r="H18" i="2"/>
  <c r="P16" i="12" s="1"/>
  <c r="H16" i="2"/>
  <c r="P14" i="12" s="1"/>
  <c r="H14" i="2"/>
  <c r="P12" i="12" s="1"/>
  <c r="H23" i="2"/>
  <c r="P21" i="12" s="1"/>
  <c r="H21" i="2"/>
  <c r="P19" i="12" s="1"/>
  <c r="H12" i="2"/>
  <c r="P10" i="12" s="1"/>
  <c r="H9" i="11"/>
  <c r="V7" i="12" s="1"/>
  <c r="H6" i="11"/>
  <c r="J6" i="11" s="1"/>
  <c r="X4" i="12" s="1"/>
  <c r="BX4" i="12" s="1"/>
  <c r="H4" i="9"/>
  <c r="J4" i="9" s="1"/>
  <c r="AD2" i="12" s="1"/>
  <c r="BY2" i="12" s="1"/>
  <c r="H20" i="10"/>
  <c r="H21" i="6"/>
  <c r="H13" i="6"/>
  <c r="H9" i="6"/>
  <c r="H19" i="10"/>
  <c r="AH17" i="12" s="1"/>
  <c r="H15" i="10"/>
  <c r="H23" i="9"/>
  <c r="H22" i="9"/>
  <c r="H21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K13" i="5"/>
  <c r="BO11" i="12" s="1"/>
  <c r="J13" i="5"/>
  <c r="BN11" i="12" s="1"/>
  <c r="CE11" i="12" s="1"/>
  <c r="K17" i="5"/>
  <c r="BO15" i="12" s="1"/>
  <c r="J17" i="5"/>
  <c r="BN15" i="12" s="1"/>
  <c r="CE15" i="12" s="1"/>
  <c r="K22" i="7"/>
  <c r="BI20" i="12" s="1"/>
  <c r="J22" i="7"/>
  <c r="BH20" i="12" s="1"/>
  <c r="CD20" i="12" s="1"/>
  <c r="J9" i="6"/>
  <c r="AV7" i="12" s="1"/>
  <c r="CB7" i="12" s="1"/>
  <c r="K11" i="10"/>
  <c r="AK9" i="12" s="1"/>
  <c r="J11" i="10"/>
  <c r="AJ9" i="12" s="1"/>
  <c r="BZ9" i="12" s="1"/>
  <c r="K10" i="10"/>
  <c r="AK8" i="12" s="1"/>
  <c r="H22" i="11"/>
  <c r="V20" i="12" s="1"/>
  <c r="K15" i="11"/>
  <c r="Y13" i="12" s="1"/>
  <c r="J15" i="11"/>
  <c r="X13" i="12" s="1"/>
  <c r="BX13" i="12" s="1"/>
  <c r="J19" i="11"/>
  <c r="X17" i="12" s="1"/>
  <c r="BX17" i="12" s="1"/>
  <c r="H8" i="5"/>
  <c r="H20" i="7"/>
  <c r="H6" i="6"/>
  <c r="H7" i="6"/>
  <c r="H10" i="6"/>
  <c r="H11" i="6"/>
  <c r="H15" i="6"/>
  <c r="H19" i="6"/>
  <c r="H21" i="10"/>
  <c r="AH19" i="12" s="1"/>
  <c r="H13" i="10"/>
  <c r="AH11" i="12" s="1"/>
  <c r="E12" i="10"/>
  <c r="K4" i="10"/>
  <c r="AK2" i="12" s="1"/>
  <c r="H20" i="11"/>
  <c r="V18" i="12" s="1"/>
  <c r="H8" i="11"/>
  <c r="H4" i="8"/>
  <c r="H15" i="5"/>
  <c r="H9" i="5"/>
  <c r="H20" i="5"/>
  <c r="H8" i="6"/>
  <c r="H14" i="6"/>
  <c r="H22" i="6"/>
  <c r="H5" i="6"/>
  <c r="H9" i="10"/>
  <c r="AH7" i="12" s="1"/>
  <c r="H14" i="10"/>
  <c r="AH12" i="12" s="1"/>
  <c r="H18" i="10"/>
  <c r="AH16" i="12" s="1"/>
  <c r="H22" i="10"/>
  <c r="AH20" i="12" s="1"/>
  <c r="H8" i="10"/>
  <c r="H5" i="10"/>
  <c r="H13" i="11"/>
  <c r="V11" i="12" s="1"/>
  <c r="H17" i="11"/>
  <c r="V15" i="12" s="1"/>
  <c r="H10" i="11"/>
  <c r="V8" i="12" s="1"/>
  <c r="H7" i="11"/>
  <c r="H8" i="7"/>
  <c r="H9" i="7"/>
  <c r="H11" i="7"/>
  <c r="H13" i="7"/>
  <c r="H15" i="7"/>
  <c r="H17" i="7"/>
  <c r="H19" i="7"/>
  <c r="H17" i="10"/>
  <c r="AH15" i="12" s="1"/>
  <c r="H7" i="10"/>
  <c r="H5" i="7"/>
  <c r="H12" i="7"/>
  <c r="H14" i="7"/>
  <c r="H14" i="11"/>
  <c r="V12" i="12" s="1"/>
  <c r="H18" i="11"/>
  <c r="V16" i="12" s="1"/>
  <c r="H21" i="11"/>
  <c r="V19" i="12" s="1"/>
  <c r="H5" i="8"/>
  <c r="H12" i="8"/>
  <c r="H16" i="8"/>
  <c r="H18" i="8"/>
  <c r="H21" i="8"/>
  <c r="H23" i="8"/>
  <c r="H17" i="6"/>
  <c r="H23" i="11"/>
  <c r="V21" i="12" s="1"/>
  <c r="H23" i="7"/>
  <c r="H23" i="10"/>
  <c r="AH21" i="12" s="1"/>
  <c r="D2" i="12"/>
  <c r="H5" i="5"/>
  <c r="H12" i="5"/>
  <c r="H14" i="5"/>
  <c r="H16" i="5"/>
  <c r="H18" i="5"/>
  <c r="H21" i="5"/>
  <c r="CJ2" i="12"/>
  <c r="BT2" i="12"/>
  <c r="CJ21" i="12"/>
  <c r="CJ20" i="12"/>
  <c r="CJ19" i="12"/>
  <c r="CJ18" i="12"/>
  <c r="CJ17" i="12"/>
  <c r="CJ16" i="12"/>
  <c r="CJ15" i="12"/>
  <c r="CJ14" i="12"/>
  <c r="CJ13" i="12"/>
  <c r="CJ12" i="12"/>
  <c r="CJ11" i="12"/>
  <c r="CJ10" i="12"/>
  <c r="CJ9" i="12"/>
  <c r="CJ8" i="12"/>
  <c r="CJ7" i="12"/>
  <c r="CJ6" i="12"/>
  <c r="CJ5" i="12"/>
  <c r="CJ4" i="12"/>
  <c r="CJ3" i="12"/>
  <c r="H16" i="7"/>
  <c r="H19" i="5"/>
  <c r="H11" i="5"/>
  <c r="H10" i="5"/>
  <c r="H7" i="5"/>
  <c r="H6" i="5"/>
  <c r="H4" i="5"/>
  <c r="H22" i="8"/>
  <c r="H20" i="8"/>
  <c r="H19" i="8"/>
  <c r="H17" i="8"/>
  <c r="H15" i="8"/>
  <c r="H14" i="8"/>
  <c r="H13" i="8"/>
  <c r="H11" i="8"/>
  <c r="H10" i="8"/>
  <c r="H9" i="8"/>
  <c r="H8" i="8"/>
  <c r="H7" i="8"/>
  <c r="H6" i="8"/>
  <c r="H12" i="6"/>
  <c r="H18" i="6"/>
  <c r="H23" i="6"/>
  <c r="H16" i="6"/>
  <c r="H20" i="6"/>
  <c r="H7" i="7"/>
  <c r="H18" i="7"/>
  <c r="H6" i="7"/>
  <c r="H10" i="7"/>
  <c r="H21" i="7"/>
  <c r="H6" i="10"/>
  <c r="H16" i="10"/>
  <c r="AH14" i="12" s="1"/>
  <c r="H4" i="7"/>
  <c r="H4" i="6"/>
  <c r="AR2" i="12"/>
  <c r="AL2" i="12"/>
  <c r="AF2" i="12"/>
  <c r="Z2" i="12"/>
  <c r="H12" i="11"/>
  <c r="V10" i="12" s="1"/>
  <c r="H16" i="11"/>
  <c r="V14" i="12" s="1"/>
  <c r="H4" i="11"/>
  <c r="N2" i="12"/>
  <c r="H4" i="2"/>
  <c r="J10" i="10" l="1"/>
  <c r="AJ8" i="12" s="1"/>
  <c r="BZ8" i="12" s="1"/>
  <c r="AB2" i="12"/>
  <c r="K11" i="11"/>
  <c r="Y9" i="12" s="1"/>
  <c r="J11" i="11"/>
  <c r="X9" i="12" s="1"/>
  <c r="BX9" i="12" s="1"/>
  <c r="K19" i="11"/>
  <c r="Y17" i="12" s="1"/>
  <c r="I12" i="5"/>
  <c r="BM10" i="12" s="1"/>
  <c r="BL10" i="12"/>
  <c r="I6" i="5"/>
  <c r="BM4" i="12" s="1"/>
  <c r="BL4" i="12"/>
  <c r="BL3" i="12"/>
  <c r="I5" i="5"/>
  <c r="BM3" i="12" s="1"/>
  <c r="I20" i="5"/>
  <c r="BM18" i="12" s="1"/>
  <c r="BL18" i="12"/>
  <c r="I11" i="5"/>
  <c r="BM9" i="12" s="1"/>
  <c r="BL9" i="12"/>
  <c r="BL19" i="12"/>
  <c r="I21" i="5"/>
  <c r="BM19" i="12" s="1"/>
  <c r="I9" i="5"/>
  <c r="BM7" i="12" s="1"/>
  <c r="BL7" i="12"/>
  <c r="BL6" i="12"/>
  <c r="I8" i="5"/>
  <c r="BM6" i="12" s="1"/>
  <c r="I17" i="5"/>
  <c r="BM15" i="12" s="1"/>
  <c r="BL15" i="12"/>
  <c r="BL20" i="12"/>
  <c r="I22" i="5"/>
  <c r="BM20" i="12" s="1"/>
  <c r="BL5" i="12"/>
  <c r="I7" i="5"/>
  <c r="BM5" i="12" s="1"/>
  <c r="BL8" i="12"/>
  <c r="I10" i="5"/>
  <c r="BM8" i="12" s="1"/>
  <c r="I19" i="5"/>
  <c r="BM17" i="12" s="1"/>
  <c r="BL17" i="12"/>
  <c r="BL16" i="12"/>
  <c r="I18" i="5"/>
  <c r="BM16" i="12" s="1"/>
  <c r="BL13" i="12"/>
  <c r="I15" i="5"/>
  <c r="BM13" i="12" s="1"/>
  <c r="I14" i="5"/>
  <c r="BM12" i="12" s="1"/>
  <c r="BL12" i="12"/>
  <c r="I4" i="5"/>
  <c r="BM2" i="12" s="1"/>
  <c r="I31" i="5"/>
  <c r="BM29" i="12" s="1"/>
  <c r="I30" i="5"/>
  <c r="BM28" i="12" s="1"/>
  <c r="I32" i="5"/>
  <c r="BM30" i="12" s="1"/>
  <c r="I28" i="5"/>
  <c r="BM26" i="12" s="1"/>
  <c r="I29" i="5"/>
  <c r="BM27" i="12" s="1"/>
  <c r="I27" i="5"/>
  <c r="BM25" i="12" s="1"/>
  <c r="I26" i="5"/>
  <c r="BM24" i="12" s="1"/>
  <c r="I25" i="5"/>
  <c r="BM23" i="12" s="1"/>
  <c r="I24" i="5"/>
  <c r="BM22" i="12" s="1"/>
  <c r="I23" i="5"/>
  <c r="BM21" i="12" s="1"/>
  <c r="BL14" i="12"/>
  <c r="I16" i="5"/>
  <c r="BM14" i="12" s="1"/>
  <c r="BL11" i="12"/>
  <c r="I13" i="5"/>
  <c r="BM11" i="12" s="1"/>
  <c r="BF3" i="12"/>
  <c r="I5" i="7"/>
  <c r="BG3" i="12" s="1"/>
  <c r="I7" i="7"/>
  <c r="BG5" i="12" s="1"/>
  <c r="BF5" i="12"/>
  <c r="I4" i="7"/>
  <c r="I30" i="7"/>
  <c r="BG28" i="12" s="1"/>
  <c r="I32" i="7"/>
  <c r="BG30" i="12" s="1"/>
  <c r="I31" i="7"/>
  <c r="BG29" i="12" s="1"/>
  <c r="I26" i="7"/>
  <c r="BG24" i="12" s="1"/>
  <c r="I29" i="7"/>
  <c r="BG27" i="12" s="1"/>
  <c r="I28" i="7"/>
  <c r="BG26" i="12" s="1"/>
  <c r="I27" i="7"/>
  <c r="BG25" i="12" s="1"/>
  <c r="I25" i="7"/>
  <c r="BG23" i="12" s="1"/>
  <c r="I24" i="7"/>
  <c r="BG22" i="12" s="1"/>
  <c r="BF14" i="12"/>
  <c r="I16" i="7"/>
  <c r="BG14" i="12" s="1"/>
  <c r="BF17" i="12"/>
  <c r="I19" i="7"/>
  <c r="BG17" i="12" s="1"/>
  <c r="I6" i="7"/>
  <c r="BG4" i="12" s="1"/>
  <c r="BF4" i="12"/>
  <c r="BF6" i="12"/>
  <c r="I8" i="7"/>
  <c r="BG6" i="12" s="1"/>
  <c r="BF15" i="12"/>
  <c r="BS15" i="12" s="1"/>
  <c r="I17" i="7"/>
  <c r="BG15" i="12" s="1"/>
  <c r="I15" i="7"/>
  <c r="BG13" i="12" s="1"/>
  <c r="BF13" i="12"/>
  <c r="BF18" i="12"/>
  <c r="I20" i="7"/>
  <c r="BG18" i="12" s="1"/>
  <c r="I18" i="7"/>
  <c r="BG16" i="12" s="1"/>
  <c r="BF16" i="12"/>
  <c r="BF19" i="12"/>
  <c r="I21" i="7"/>
  <c r="BG19" i="12" s="1"/>
  <c r="I14" i="7"/>
  <c r="BG12" i="12" s="1"/>
  <c r="BF12" i="12"/>
  <c r="I13" i="7"/>
  <c r="BG11" i="12" s="1"/>
  <c r="BF11" i="12"/>
  <c r="BF7" i="12"/>
  <c r="I9" i="7"/>
  <c r="BG7" i="12" s="1"/>
  <c r="I23" i="7"/>
  <c r="BG21" i="12" s="1"/>
  <c r="BF21" i="12"/>
  <c r="I10" i="7"/>
  <c r="BG8" i="12" s="1"/>
  <c r="BF8" i="12"/>
  <c r="BF10" i="12"/>
  <c r="I12" i="7"/>
  <c r="BG10" i="12" s="1"/>
  <c r="BF9" i="12"/>
  <c r="I11" i="7"/>
  <c r="BG9" i="12" s="1"/>
  <c r="I22" i="7"/>
  <c r="BG20" i="12" s="1"/>
  <c r="BF20" i="12"/>
  <c r="AT16" i="12"/>
  <c r="I18" i="6"/>
  <c r="AU16" i="12" s="1"/>
  <c r="I7" i="6"/>
  <c r="AU5" i="12" s="1"/>
  <c r="AT5" i="12"/>
  <c r="I4" i="6"/>
  <c r="I31" i="6"/>
  <c r="AU29" i="12" s="1"/>
  <c r="I32" i="6"/>
  <c r="AU30" i="12" s="1"/>
  <c r="I30" i="6"/>
  <c r="AU28" i="12" s="1"/>
  <c r="I26" i="6"/>
  <c r="AU24" i="12" s="1"/>
  <c r="I28" i="6"/>
  <c r="AU26" i="12" s="1"/>
  <c r="I27" i="6"/>
  <c r="AU25" i="12" s="1"/>
  <c r="I29" i="6"/>
  <c r="AU27" i="12" s="1"/>
  <c r="I24" i="6"/>
  <c r="AU22" i="12" s="1"/>
  <c r="I25" i="6"/>
  <c r="AU23" i="12" s="1"/>
  <c r="AT17" i="12"/>
  <c r="I19" i="6"/>
  <c r="AU17" i="12" s="1"/>
  <c r="AT7" i="12"/>
  <c r="I9" i="6"/>
  <c r="AU7" i="12" s="1"/>
  <c r="AT18" i="12"/>
  <c r="I20" i="6"/>
  <c r="AU18" i="12" s="1"/>
  <c r="I15" i="6"/>
  <c r="AU13" i="12" s="1"/>
  <c r="AT13" i="12"/>
  <c r="K13" i="6"/>
  <c r="AW11" i="12" s="1"/>
  <c r="I13" i="6"/>
  <c r="AU11" i="12" s="1"/>
  <c r="AT11" i="12"/>
  <c r="I12" i="6"/>
  <c r="AU10" i="12" s="1"/>
  <c r="AT10" i="12"/>
  <c r="AT6" i="12"/>
  <c r="I8" i="6"/>
  <c r="AU6" i="12" s="1"/>
  <c r="AT15" i="12"/>
  <c r="I17" i="6"/>
  <c r="AU15" i="12" s="1"/>
  <c r="AT14" i="12"/>
  <c r="I16" i="6"/>
  <c r="AU14" i="12" s="1"/>
  <c r="I5" i="6"/>
  <c r="AU3" i="12" s="1"/>
  <c r="AT3" i="12"/>
  <c r="I11" i="6"/>
  <c r="AU9" i="12" s="1"/>
  <c r="AT9" i="12"/>
  <c r="K21" i="6"/>
  <c r="AW19" i="12" s="1"/>
  <c r="I21" i="6"/>
  <c r="AU19" i="12" s="1"/>
  <c r="AT19" i="12"/>
  <c r="I14" i="6"/>
  <c r="AU12" i="12" s="1"/>
  <c r="AT12" i="12"/>
  <c r="I6" i="6"/>
  <c r="AU4" i="12" s="1"/>
  <c r="AT4" i="12"/>
  <c r="I23" i="6"/>
  <c r="AU21" i="12" s="1"/>
  <c r="AT21" i="12"/>
  <c r="I22" i="6"/>
  <c r="AU20" i="12" s="1"/>
  <c r="AT20" i="12"/>
  <c r="AT8" i="12"/>
  <c r="I10" i="6"/>
  <c r="AU8" i="12" s="1"/>
  <c r="I16" i="8"/>
  <c r="AO14" i="12" s="1"/>
  <c r="AN14" i="12"/>
  <c r="I7" i="8"/>
  <c r="AO5" i="12" s="1"/>
  <c r="AN5" i="12"/>
  <c r="I12" i="8"/>
  <c r="AO10" i="12" s="1"/>
  <c r="AN10" i="12"/>
  <c r="BR10" i="12" s="1"/>
  <c r="I18" i="8"/>
  <c r="AO16" i="12" s="1"/>
  <c r="AN16" i="12"/>
  <c r="I15" i="8"/>
  <c r="AO13" i="12" s="1"/>
  <c r="AN13" i="12"/>
  <c r="I17" i="8"/>
  <c r="AO15" i="12" s="1"/>
  <c r="AN15" i="12"/>
  <c r="I8" i="8"/>
  <c r="AO6" i="12" s="1"/>
  <c r="AN6" i="12"/>
  <c r="AN17" i="12"/>
  <c r="I19" i="8"/>
  <c r="AO17" i="12" s="1"/>
  <c r="AN3" i="12"/>
  <c r="I5" i="8"/>
  <c r="AO3" i="12" s="1"/>
  <c r="AN4" i="12"/>
  <c r="I6" i="8"/>
  <c r="AO4" i="12" s="1"/>
  <c r="I9" i="8"/>
  <c r="AO7" i="12" s="1"/>
  <c r="AN7" i="12"/>
  <c r="I20" i="8"/>
  <c r="AO18" i="12" s="1"/>
  <c r="AN18" i="12"/>
  <c r="I4" i="8"/>
  <c r="I32" i="8"/>
  <c r="AO30" i="12" s="1"/>
  <c r="I31" i="8"/>
  <c r="AO29" i="12" s="1"/>
  <c r="I30" i="8"/>
  <c r="AO28" i="12" s="1"/>
  <c r="I28" i="8"/>
  <c r="AO26" i="12" s="1"/>
  <c r="I29" i="8"/>
  <c r="AO27" i="12" s="1"/>
  <c r="I26" i="8"/>
  <c r="AO24" i="12" s="1"/>
  <c r="I27" i="8"/>
  <c r="AO25" i="12" s="1"/>
  <c r="I25" i="8"/>
  <c r="AO23" i="12" s="1"/>
  <c r="I24" i="8"/>
  <c r="AO22" i="12" s="1"/>
  <c r="AN11" i="12"/>
  <c r="I13" i="8"/>
  <c r="AO11" i="12" s="1"/>
  <c r="AN20" i="12"/>
  <c r="I22" i="8"/>
  <c r="AO20" i="12" s="1"/>
  <c r="AN19" i="12"/>
  <c r="I21" i="8"/>
  <c r="AO19" i="12" s="1"/>
  <c r="AN12" i="12"/>
  <c r="I14" i="8"/>
  <c r="AO12" i="12" s="1"/>
  <c r="I10" i="8"/>
  <c r="AO8" i="12" s="1"/>
  <c r="AN8" i="12"/>
  <c r="AN9" i="12"/>
  <c r="I11" i="8"/>
  <c r="AO9" i="12" s="1"/>
  <c r="AN21" i="12"/>
  <c r="I23" i="8"/>
  <c r="AO21" i="12" s="1"/>
  <c r="K15" i="10"/>
  <c r="AK13" i="12" s="1"/>
  <c r="AH13" i="12"/>
  <c r="H12" i="10"/>
  <c r="AH10" i="12" s="1"/>
  <c r="AF10" i="12"/>
  <c r="K20" i="10"/>
  <c r="AK18" i="12" s="1"/>
  <c r="AH18" i="12"/>
  <c r="AB15" i="12"/>
  <c r="I17" i="9"/>
  <c r="AC15" i="12" s="1"/>
  <c r="AB9" i="12"/>
  <c r="I11" i="9"/>
  <c r="AC9" i="12" s="1"/>
  <c r="AB17" i="12"/>
  <c r="I19" i="9"/>
  <c r="AC17" i="12" s="1"/>
  <c r="AB8" i="12"/>
  <c r="I10" i="9"/>
  <c r="AC8" i="12" s="1"/>
  <c r="I12" i="9"/>
  <c r="AC10" i="12" s="1"/>
  <c r="AB10" i="12"/>
  <c r="I21" i="9"/>
  <c r="AC19" i="12" s="1"/>
  <c r="AB19" i="12"/>
  <c r="I5" i="9"/>
  <c r="AC3" i="12" s="1"/>
  <c r="AB3" i="12"/>
  <c r="I13" i="9"/>
  <c r="AC11" i="12" s="1"/>
  <c r="AB11" i="12"/>
  <c r="BS11" i="12" s="1"/>
  <c r="AB20" i="12"/>
  <c r="I22" i="9"/>
  <c r="AC20" i="12" s="1"/>
  <c r="K4" i="9"/>
  <c r="AE2" i="12" s="1"/>
  <c r="I4" i="9"/>
  <c r="AC2" i="12" s="1"/>
  <c r="I31" i="9"/>
  <c r="AC29" i="12" s="1"/>
  <c r="I30" i="9"/>
  <c r="AC28" i="12" s="1"/>
  <c r="I32" i="9"/>
  <c r="AC30" i="12" s="1"/>
  <c r="I26" i="9"/>
  <c r="AC24" i="12" s="1"/>
  <c r="I28" i="9"/>
  <c r="AC26" i="12" s="1"/>
  <c r="I29" i="9"/>
  <c r="AC27" i="12" s="1"/>
  <c r="I27" i="9"/>
  <c r="AC25" i="12" s="1"/>
  <c r="I24" i="9"/>
  <c r="AC22" i="12" s="1"/>
  <c r="I25" i="9"/>
  <c r="AC23" i="12" s="1"/>
  <c r="I20" i="9"/>
  <c r="AC18" i="12" s="1"/>
  <c r="AB7" i="12"/>
  <c r="I9" i="9"/>
  <c r="AC7" i="12" s="1"/>
  <c r="I6" i="9"/>
  <c r="AC4" i="12" s="1"/>
  <c r="AB4" i="12"/>
  <c r="AB12" i="12"/>
  <c r="I14" i="9"/>
  <c r="AC12" i="12" s="1"/>
  <c r="I23" i="9"/>
  <c r="AC21" i="12" s="1"/>
  <c r="AB21" i="12"/>
  <c r="I7" i="9"/>
  <c r="AC5" i="12" s="1"/>
  <c r="AB5" i="12"/>
  <c r="I15" i="9"/>
  <c r="AC13" i="12" s="1"/>
  <c r="AB13" i="12"/>
  <c r="I18" i="9"/>
  <c r="AC16" i="12" s="1"/>
  <c r="AB16" i="12"/>
  <c r="AB6" i="12"/>
  <c r="I8" i="9"/>
  <c r="AC6" i="12" s="1"/>
  <c r="I16" i="9"/>
  <c r="AC14" i="12" s="1"/>
  <c r="AB14" i="12"/>
  <c r="J5" i="11"/>
  <c r="X3" i="12" s="1"/>
  <c r="BX3" i="12" s="1"/>
  <c r="AH2" i="12"/>
  <c r="I27" i="10"/>
  <c r="AI25" i="12" s="1"/>
  <c r="I30" i="10"/>
  <c r="AI28" i="12" s="1"/>
  <c r="AH6" i="12"/>
  <c r="I17" i="10"/>
  <c r="AI15" i="12" s="1"/>
  <c r="I25" i="10"/>
  <c r="AI23" i="12" s="1"/>
  <c r="I4" i="10"/>
  <c r="AI2" i="12" s="1"/>
  <c r="I22" i="10"/>
  <c r="AI20" i="12" s="1"/>
  <c r="AH4" i="12"/>
  <c r="I31" i="10"/>
  <c r="AI29" i="12" s="1"/>
  <c r="I21" i="10"/>
  <c r="AI19" i="12" s="1"/>
  <c r="I12" i="10"/>
  <c r="AI10" i="12" s="1"/>
  <c r="I9" i="10"/>
  <c r="AI7" i="12" s="1"/>
  <c r="I15" i="10"/>
  <c r="AI13" i="12" s="1"/>
  <c r="I16" i="10"/>
  <c r="AI14" i="12" s="1"/>
  <c r="I19" i="10"/>
  <c r="AI17" i="12" s="1"/>
  <c r="I23" i="10"/>
  <c r="AI21" i="12" s="1"/>
  <c r="AH3" i="12"/>
  <c r="I5" i="10"/>
  <c r="AI3" i="12" s="1"/>
  <c r="I32" i="10"/>
  <c r="AI30" i="12" s="1"/>
  <c r="AH5" i="12"/>
  <c r="I14" i="10"/>
  <c r="AI12" i="12" s="1"/>
  <c r="I28" i="10"/>
  <c r="AI26" i="12" s="1"/>
  <c r="I11" i="10"/>
  <c r="AI9" i="12" s="1"/>
  <c r="I10" i="10"/>
  <c r="AI8" i="12" s="1"/>
  <c r="I6" i="11"/>
  <c r="W4" i="12" s="1"/>
  <c r="V4" i="12"/>
  <c r="I14" i="11"/>
  <c r="W12" i="12" s="1"/>
  <c r="I22" i="11"/>
  <c r="W20" i="12" s="1"/>
  <c r="I30" i="11"/>
  <c r="W28" i="12" s="1"/>
  <c r="I4" i="11"/>
  <c r="W2" i="12" s="1"/>
  <c r="I21" i="11"/>
  <c r="W19" i="12" s="1"/>
  <c r="I15" i="11"/>
  <c r="W13" i="12" s="1"/>
  <c r="I23" i="11"/>
  <c r="W21" i="12" s="1"/>
  <c r="I31" i="11"/>
  <c r="W29" i="12" s="1"/>
  <c r="I29" i="11"/>
  <c r="W27" i="12" s="1"/>
  <c r="I16" i="11"/>
  <c r="W14" i="12" s="1"/>
  <c r="I24" i="11"/>
  <c r="W22" i="12" s="1"/>
  <c r="I32" i="11"/>
  <c r="W30" i="12" s="1"/>
  <c r="I9" i="11"/>
  <c r="W7" i="12" s="1"/>
  <c r="I17" i="11"/>
  <c r="W15" i="12" s="1"/>
  <c r="I25" i="11"/>
  <c r="W23" i="12" s="1"/>
  <c r="I10" i="11"/>
  <c r="W8" i="12" s="1"/>
  <c r="I18" i="11"/>
  <c r="W16" i="12" s="1"/>
  <c r="I26" i="11"/>
  <c r="W24" i="12" s="1"/>
  <c r="I13" i="11"/>
  <c r="W11" i="12" s="1"/>
  <c r="I11" i="11"/>
  <c r="W9" i="12" s="1"/>
  <c r="I19" i="11"/>
  <c r="W17" i="12" s="1"/>
  <c r="I27" i="11"/>
  <c r="W25" i="12" s="1"/>
  <c r="I12" i="11"/>
  <c r="W10" i="12" s="1"/>
  <c r="I20" i="11"/>
  <c r="W18" i="12" s="1"/>
  <c r="I28" i="11"/>
  <c r="W26" i="12" s="1"/>
  <c r="V6" i="12"/>
  <c r="I8" i="11"/>
  <c r="W6" i="12" s="1"/>
  <c r="I7" i="11"/>
  <c r="W5" i="12" s="1"/>
  <c r="V5" i="12"/>
  <c r="I5" i="11"/>
  <c r="W3" i="12" s="1"/>
  <c r="V3" i="12"/>
  <c r="I9" i="2"/>
  <c r="Q7" i="12" s="1"/>
  <c r="I17" i="2"/>
  <c r="Q15" i="12" s="1"/>
  <c r="I25" i="2"/>
  <c r="Q23" i="12" s="1"/>
  <c r="I10" i="2"/>
  <c r="Q8" i="12" s="1"/>
  <c r="I18" i="2"/>
  <c r="Q16" i="12" s="1"/>
  <c r="I26" i="2"/>
  <c r="Q24" i="12" s="1"/>
  <c r="I20" i="2"/>
  <c r="Q18" i="12" s="1"/>
  <c r="I11" i="2"/>
  <c r="Q9" i="12" s="1"/>
  <c r="I19" i="2"/>
  <c r="Q17" i="12" s="1"/>
  <c r="I27" i="2"/>
  <c r="Q25" i="12" s="1"/>
  <c r="I12" i="2"/>
  <c r="Q10" i="12" s="1"/>
  <c r="I8" i="2"/>
  <c r="Q6" i="12" s="1"/>
  <c r="I32" i="2"/>
  <c r="Q30" i="12" s="1"/>
  <c r="I28" i="2"/>
  <c r="Q26" i="12" s="1"/>
  <c r="I5" i="2"/>
  <c r="Q3" i="12" s="1"/>
  <c r="I13" i="2"/>
  <c r="Q11" i="12" s="1"/>
  <c r="I21" i="2"/>
  <c r="Q19" i="12" s="1"/>
  <c r="I29" i="2"/>
  <c r="Q27" i="12" s="1"/>
  <c r="I6" i="2"/>
  <c r="Q4" i="12" s="1"/>
  <c r="I14" i="2"/>
  <c r="Q12" i="12" s="1"/>
  <c r="I22" i="2"/>
  <c r="Q20" i="12" s="1"/>
  <c r="I30" i="2"/>
  <c r="Q28" i="12" s="1"/>
  <c r="I4" i="2"/>
  <c r="Q2" i="12" s="1"/>
  <c r="I16" i="2"/>
  <c r="Q14" i="12" s="1"/>
  <c r="I24" i="2"/>
  <c r="Q22" i="12" s="1"/>
  <c r="I7" i="2"/>
  <c r="Q5" i="12" s="1"/>
  <c r="I15" i="2"/>
  <c r="Q13" i="12" s="1"/>
  <c r="I23" i="2"/>
  <c r="Q21" i="12" s="1"/>
  <c r="I31" i="2"/>
  <c r="Q29" i="12" s="1"/>
  <c r="K22" i="11"/>
  <c r="Y20" i="12" s="1"/>
  <c r="K6" i="11"/>
  <c r="Y4" i="12" s="1"/>
  <c r="K9" i="11"/>
  <c r="Y7" i="12" s="1"/>
  <c r="J22" i="5"/>
  <c r="BN20" i="12" s="1"/>
  <c r="CE20" i="12" s="1"/>
  <c r="K22" i="5"/>
  <c r="BO20" i="12" s="1"/>
  <c r="J9" i="11"/>
  <c r="X7" i="12" s="1"/>
  <c r="BX7" i="12" s="1"/>
  <c r="J19" i="10"/>
  <c r="AJ17" i="12" s="1"/>
  <c r="BZ17" i="12" s="1"/>
  <c r="BG2" i="12"/>
  <c r="J21" i="6"/>
  <c r="AV19" i="12" s="1"/>
  <c r="CB19" i="12" s="1"/>
  <c r="AU2" i="12"/>
  <c r="AO2" i="12"/>
  <c r="K19" i="10"/>
  <c r="AK17" i="12" s="1"/>
  <c r="J20" i="10"/>
  <c r="AJ18" i="12" s="1"/>
  <c r="BZ18" i="12" s="1"/>
  <c r="J22" i="11"/>
  <c r="X20" i="12" s="1"/>
  <c r="BX20" i="12" s="1"/>
  <c r="J13" i="6"/>
  <c r="AV11" i="12" s="1"/>
  <c r="CB11" i="12" s="1"/>
  <c r="K9" i="6"/>
  <c r="AW7" i="12" s="1"/>
  <c r="J15" i="10"/>
  <c r="AJ13" i="12" s="1"/>
  <c r="BZ13" i="12" s="1"/>
  <c r="K18" i="5"/>
  <c r="BO16" i="12" s="1"/>
  <c r="J18" i="5"/>
  <c r="BN16" i="12" s="1"/>
  <c r="CE16" i="12" s="1"/>
  <c r="J6" i="5"/>
  <c r="BN4" i="12" s="1"/>
  <c r="CE4" i="12" s="1"/>
  <c r="K19" i="5"/>
  <c r="BO17" i="12" s="1"/>
  <c r="J19" i="5"/>
  <c r="BN17" i="12" s="1"/>
  <c r="CE17" i="12" s="1"/>
  <c r="J21" i="5"/>
  <c r="BN19" i="12" s="1"/>
  <c r="CE19" i="12" s="1"/>
  <c r="K12" i="5"/>
  <c r="BO10" i="12" s="1"/>
  <c r="J12" i="5"/>
  <c r="BN10" i="12" s="1"/>
  <c r="CE10" i="12" s="1"/>
  <c r="K11" i="5"/>
  <c r="BO9" i="12" s="1"/>
  <c r="J11" i="5"/>
  <c r="BN9" i="12" s="1"/>
  <c r="CE9" i="12" s="1"/>
  <c r="K5" i="5"/>
  <c r="BO3" i="12" s="1"/>
  <c r="J5" i="5"/>
  <c r="BN3" i="12" s="1"/>
  <c r="CE3" i="12" s="1"/>
  <c r="K20" i="5"/>
  <c r="BO18" i="12" s="1"/>
  <c r="J20" i="5"/>
  <c r="BN18" i="12" s="1"/>
  <c r="CE18" i="12" s="1"/>
  <c r="J4" i="5"/>
  <c r="BN2" i="12" s="1"/>
  <c r="CE2" i="12" s="1"/>
  <c r="K7" i="5"/>
  <c r="BO5" i="12" s="1"/>
  <c r="J7" i="5"/>
  <c r="BN5" i="12" s="1"/>
  <c r="CE5" i="12" s="1"/>
  <c r="J16" i="5"/>
  <c r="BN14" i="12" s="1"/>
  <c r="CE14" i="12" s="1"/>
  <c r="K9" i="5"/>
  <c r="BO7" i="12" s="1"/>
  <c r="J9" i="5"/>
  <c r="BN7" i="12" s="1"/>
  <c r="CE7" i="12" s="1"/>
  <c r="J10" i="5"/>
  <c r="BN8" i="12" s="1"/>
  <c r="CE8" i="12" s="1"/>
  <c r="K14" i="5"/>
  <c r="BO12" i="12" s="1"/>
  <c r="J14" i="5"/>
  <c r="BN12" i="12" s="1"/>
  <c r="CE12" i="12" s="1"/>
  <c r="K15" i="5"/>
  <c r="BO13" i="12" s="1"/>
  <c r="J15" i="5"/>
  <c r="BN13" i="12" s="1"/>
  <c r="CE13" i="12" s="1"/>
  <c r="K8" i="5"/>
  <c r="BO6" i="12" s="1"/>
  <c r="J8" i="5"/>
  <c r="BN6" i="12" s="1"/>
  <c r="CE6" i="12" s="1"/>
  <c r="K23" i="7"/>
  <c r="BI21" i="12" s="1"/>
  <c r="J23" i="7"/>
  <c r="BH21" i="12" s="1"/>
  <c r="CD21" i="12" s="1"/>
  <c r="K14" i="7"/>
  <c r="BI12" i="12" s="1"/>
  <c r="J14" i="7"/>
  <c r="BH12" i="12" s="1"/>
  <c r="CD12" i="12" s="1"/>
  <c r="K17" i="7"/>
  <c r="BI15" i="12" s="1"/>
  <c r="J17" i="7"/>
  <c r="BH15" i="12" s="1"/>
  <c r="CD15" i="12" s="1"/>
  <c r="J9" i="7"/>
  <c r="BH7" i="12" s="1"/>
  <c r="CD7" i="12" s="1"/>
  <c r="K10" i="7"/>
  <c r="BI8" i="12" s="1"/>
  <c r="J10" i="7"/>
  <c r="BH8" i="12" s="1"/>
  <c r="CD8" i="12" s="1"/>
  <c r="J18" i="7"/>
  <c r="BH16" i="12" s="1"/>
  <c r="CD16" i="12" s="1"/>
  <c r="K12" i="7"/>
  <c r="BI10" i="12" s="1"/>
  <c r="J12" i="7"/>
  <c r="BH10" i="12" s="1"/>
  <c r="CD10" i="12" s="1"/>
  <c r="K15" i="7"/>
  <c r="BI13" i="12" s="1"/>
  <c r="J15" i="7"/>
  <c r="BH13" i="12" s="1"/>
  <c r="CD13" i="12" s="1"/>
  <c r="K8" i="7"/>
  <c r="BI6" i="12" s="1"/>
  <c r="J8" i="7"/>
  <c r="BH6" i="12" s="1"/>
  <c r="CD6" i="12" s="1"/>
  <c r="K5" i="7"/>
  <c r="BI3" i="12" s="1"/>
  <c r="J5" i="7"/>
  <c r="BH3" i="12" s="1"/>
  <c r="CD3" i="12" s="1"/>
  <c r="J13" i="7"/>
  <c r="BH11" i="12" s="1"/>
  <c r="CD11" i="12" s="1"/>
  <c r="K20" i="7"/>
  <c r="BI18" i="12" s="1"/>
  <c r="J20" i="7"/>
  <c r="BH18" i="12" s="1"/>
  <c r="CD18" i="12" s="1"/>
  <c r="J4" i="7"/>
  <c r="BH2" i="12" s="1"/>
  <c r="CD2" i="12" s="1"/>
  <c r="J21" i="7"/>
  <c r="BH19" i="12" s="1"/>
  <c r="CD19" i="12" s="1"/>
  <c r="K6" i="7"/>
  <c r="BI4" i="12" s="1"/>
  <c r="J6" i="7"/>
  <c r="BH4" i="12" s="1"/>
  <c r="CD4" i="12" s="1"/>
  <c r="J7" i="7"/>
  <c r="BH5" i="12" s="1"/>
  <c r="CD5" i="12" s="1"/>
  <c r="K16" i="7"/>
  <c r="BI14" i="12" s="1"/>
  <c r="J16" i="7"/>
  <c r="BH14" i="12" s="1"/>
  <c r="CD14" i="12" s="1"/>
  <c r="K19" i="7"/>
  <c r="BI17" i="12" s="1"/>
  <c r="J19" i="7"/>
  <c r="BH17" i="12" s="1"/>
  <c r="CD17" i="12" s="1"/>
  <c r="K11" i="7"/>
  <c r="BI9" i="12" s="1"/>
  <c r="J11" i="7"/>
  <c r="BH9" i="12" s="1"/>
  <c r="CD9" i="12" s="1"/>
  <c r="J4" i="6"/>
  <c r="AV2" i="12" s="1"/>
  <c r="CB2" i="12" s="1"/>
  <c r="J16" i="6"/>
  <c r="AV14" i="12" s="1"/>
  <c r="CB14" i="12" s="1"/>
  <c r="K8" i="6"/>
  <c r="AW6" i="12" s="1"/>
  <c r="J8" i="6"/>
  <c r="AV6" i="12" s="1"/>
  <c r="CB6" i="12" s="1"/>
  <c r="K19" i="6"/>
  <c r="AW17" i="12" s="1"/>
  <c r="J19" i="6"/>
  <c r="AV17" i="12" s="1"/>
  <c r="CB17" i="12" s="1"/>
  <c r="K7" i="6"/>
  <c r="AW5" i="12" s="1"/>
  <c r="J7" i="6"/>
  <c r="AV5" i="12" s="1"/>
  <c r="CB5" i="12" s="1"/>
  <c r="K23" i="6"/>
  <c r="AW21" i="12" s="1"/>
  <c r="J23" i="6"/>
  <c r="AV21" i="12" s="1"/>
  <c r="CB21" i="12" s="1"/>
  <c r="K12" i="6"/>
  <c r="AW10" i="12" s="1"/>
  <c r="J12" i="6"/>
  <c r="AV10" i="12" s="1"/>
  <c r="CB10" i="12" s="1"/>
  <c r="J17" i="6"/>
  <c r="AV15" i="12" s="1"/>
  <c r="CB15" i="12" s="1"/>
  <c r="K5" i="6"/>
  <c r="AW3" i="12" s="1"/>
  <c r="J5" i="6"/>
  <c r="AV3" i="12" s="1"/>
  <c r="CB3" i="12" s="1"/>
  <c r="K15" i="6"/>
  <c r="AW13" i="12" s="1"/>
  <c r="J15" i="6"/>
  <c r="AV13" i="12" s="1"/>
  <c r="CB13" i="12" s="1"/>
  <c r="K6" i="6"/>
  <c r="AW4" i="12" s="1"/>
  <c r="J6" i="6"/>
  <c r="AV4" i="12" s="1"/>
  <c r="CB4" i="12" s="1"/>
  <c r="J20" i="6"/>
  <c r="AV18" i="12" s="1"/>
  <c r="CB18" i="12" s="1"/>
  <c r="K22" i="6"/>
  <c r="AW20" i="12" s="1"/>
  <c r="J22" i="6"/>
  <c r="AV20" i="12" s="1"/>
  <c r="CB20" i="12" s="1"/>
  <c r="K11" i="6"/>
  <c r="AW9" i="12" s="1"/>
  <c r="J11" i="6"/>
  <c r="AV9" i="12" s="1"/>
  <c r="CB9" i="12" s="1"/>
  <c r="J18" i="6"/>
  <c r="AV16" i="12" s="1"/>
  <c r="CB16" i="12" s="1"/>
  <c r="K14" i="6"/>
  <c r="AW12" i="12" s="1"/>
  <c r="J14" i="6"/>
  <c r="AV12" i="12" s="1"/>
  <c r="CB12" i="12" s="1"/>
  <c r="K10" i="6"/>
  <c r="AW8" i="12" s="1"/>
  <c r="J10" i="6"/>
  <c r="AV8" i="12" s="1"/>
  <c r="CB8" i="12" s="1"/>
  <c r="K13" i="8"/>
  <c r="AQ11" i="12" s="1"/>
  <c r="J13" i="8"/>
  <c r="AP11" i="12" s="1"/>
  <c r="CA11" i="12" s="1"/>
  <c r="K16" i="8"/>
  <c r="AQ14" i="12" s="1"/>
  <c r="J16" i="8"/>
  <c r="AP14" i="12" s="1"/>
  <c r="CA14" i="12" s="1"/>
  <c r="J7" i="8"/>
  <c r="AP5" i="12" s="1"/>
  <c r="CA5" i="12" s="1"/>
  <c r="J9" i="8"/>
  <c r="AP7" i="12" s="1"/>
  <c r="CA7" i="12" s="1"/>
  <c r="J11" i="8"/>
  <c r="AP9" i="12" s="1"/>
  <c r="CA9" i="12" s="1"/>
  <c r="K14" i="8"/>
  <c r="AQ12" i="12" s="1"/>
  <c r="J14" i="8"/>
  <c r="AP12" i="12" s="1"/>
  <c r="CA12" i="12" s="1"/>
  <c r="J19" i="8"/>
  <c r="AP17" i="12" s="1"/>
  <c r="CA17" i="12" s="1"/>
  <c r="K23" i="8"/>
  <c r="AQ21" i="12" s="1"/>
  <c r="J23" i="8"/>
  <c r="AP21" i="12" s="1"/>
  <c r="CA21" i="12" s="1"/>
  <c r="K12" i="8"/>
  <c r="AQ10" i="12" s="1"/>
  <c r="J12" i="8"/>
  <c r="AP10" i="12" s="1"/>
  <c r="CA10" i="12" s="1"/>
  <c r="K4" i="8"/>
  <c r="AQ2" i="12" s="1"/>
  <c r="J4" i="8"/>
  <c r="AP2" i="12" s="1"/>
  <c r="CA2" i="12" s="1"/>
  <c r="K17" i="8"/>
  <c r="AQ15" i="12" s="1"/>
  <c r="J17" i="8"/>
  <c r="AP15" i="12" s="1"/>
  <c r="CA15" i="12" s="1"/>
  <c r="K22" i="8"/>
  <c r="AQ20" i="12" s="1"/>
  <c r="J22" i="8"/>
  <c r="AP20" i="12" s="1"/>
  <c r="CA20" i="12" s="1"/>
  <c r="K21" i="8"/>
  <c r="AQ19" i="12" s="1"/>
  <c r="J21" i="8"/>
  <c r="AP19" i="12" s="1"/>
  <c r="CA19" i="12" s="1"/>
  <c r="K5" i="8"/>
  <c r="AQ3" i="12" s="1"/>
  <c r="J5" i="8"/>
  <c r="AP3" i="12" s="1"/>
  <c r="CA3" i="12" s="1"/>
  <c r="K6" i="8"/>
  <c r="AQ4" i="12" s="1"/>
  <c r="J6" i="8"/>
  <c r="AP4" i="12" s="1"/>
  <c r="CA4" i="12" s="1"/>
  <c r="K8" i="8"/>
  <c r="AQ6" i="12" s="1"/>
  <c r="J8" i="8"/>
  <c r="AP6" i="12" s="1"/>
  <c r="CA6" i="12" s="1"/>
  <c r="J10" i="8"/>
  <c r="AP8" i="12" s="1"/>
  <c r="CA8" i="12" s="1"/>
  <c r="J15" i="8"/>
  <c r="AP13" i="12" s="1"/>
  <c r="CA13" i="12" s="1"/>
  <c r="K20" i="8"/>
  <c r="AQ18" i="12" s="1"/>
  <c r="J20" i="8"/>
  <c r="AP18" i="12" s="1"/>
  <c r="CA18" i="12" s="1"/>
  <c r="K18" i="8"/>
  <c r="AQ16" i="12" s="1"/>
  <c r="J18" i="8"/>
  <c r="AP16" i="12" s="1"/>
  <c r="CA16" i="12" s="1"/>
  <c r="J17" i="10"/>
  <c r="AJ15" i="12" s="1"/>
  <c r="BZ15" i="12" s="1"/>
  <c r="J22" i="10"/>
  <c r="AJ20" i="12" s="1"/>
  <c r="BZ20" i="12" s="1"/>
  <c r="K16" i="10"/>
  <c r="AK14" i="12" s="1"/>
  <c r="J16" i="10"/>
  <c r="AJ14" i="12" s="1"/>
  <c r="BZ14" i="12" s="1"/>
  <c r="J18" i="10"/>
  <c r="AJ16" i="12" s="1"/>
  <c r="BZ16" i="12" s="1"/>
  <c r="J23" i="10"/>
  <c r="AJ21" i="12" s="1"/>
  <c r="BZ21" i="12" s="1"/>
  <c r="K21" i="10"/>
  <c r="AK19" i="12" s="1"/>
  <c r="J21" i="10"/>
  <c r="AJ19" i="12" s="1"/>
  <c r="BZ19" i="12" s="1"/>
  <c r="K5" i="10"/>
  <c r="AK3" i="12" s="1"/>
  <c r="J5" i="10"/>
  <c r="AJ3" i="12" s="1"/>
  <c r="BZ3" i="12" s="1"/>
  <c r="K14" i="10"/>
  <c r="AK12" i="12" s="1"/>
  <c r="J14" i="10"/>
  <c r="AJ12" i="12" s="1"/>
  <c r="BZ12" i="12" s="1"/>
  <c r="J12" i="10"/>
  <c r="AJ10" i="12" s="1"/>
  <c r="BZ10" i="12" s="1"/>
  <c r="K6" i="10"/>
  <c r="AK4" i="12" s="1"/>
  <c r="J6" i="10"/>
  <c r="AJ4" i="12" s="1"/>
  <c r="BZ4" i="12" s="1"/>
  <c r="K7" i="10"/>
  <c r="AK5" i="12" s="1"/>
  <c r="J7" i="10"/>
  <c r="AJ5" i="12" s="1"/>
  <c r="BZ5" i="12" s="1"/>
  <c r="K8" i="10"/>
  <c r="AK6" i="12" s="1"/>
  <c r="J8" i="10"/>
  <c r="AJ6" i="12" s="1"/>
  <c r="BZ6" i="12" s="1"/>
  <c r="K9" i="10"/>
  <c r="AK7" i="12" s="1"/>
  <c r="J9" i="10"/>
  <c r="AJ7" i="12" s="1"/>
  <c r="BZ7" i="12" s="1"/>
  <c r="K13" i="10"/>
  <c r="AK11" i="12" s="1"/>
  <c r="J13" i="10"/>
  <c r="AJ11" i="12" s="1"/>
  <c r="BZ11" i="12" s="1"/>
  <c r="K14" i="9"/>
  <c r="AE12" i="12" s="1"/>
  <c r="J14" i="9"/>
  <c r="AD12" i="12" s="1"/>
  <c r="BY12" i="12" s="1"/>
  <c r="J10" i="9"/>
  <c r="AD8" i="12" s="1"/>
  <c r="BY8" i="12" s="1"/>
  <c r="K12" i="9"/>
  <c r="AE10" i="12" s="1"/>
  <c r="J12" i="9"/>
  <c r="AD10" i="12" s="1"/>
  <c r="BY10" i="12" s="1"/>
  <c r="K15" i="9"/>
  <c r="AE13" i="12" s="1"/>
  <c r="J15" i="9"/>
  <c r="AD13" i="12" s="1"/>
  <c r="BY13" i="12" s="1"/>
  <c r="K11" i="9"/>
  <c r="AE9" i="12" s="1"/>
  <c r="J11" i="9"/>
  <c r="AD9" i="12" s="1"/>
  <c r="BY9" i="12" s="1"/>
  <c r="K23" i="9"/>
  <c r="AE21" i="12" s="1"/>
  <c r="J23" i="9"/>
  <c r="AD21" i="12" s="1"/>
  <c r="BY21" i="12" s="1"/>
  <c r="J19" i="9"/>
  <c r="AD17" i="12" s="1"/>
  <c r="BY17" i="12" s="1"/>
  <c r="J16" i="9"/>
  <c r="AD14" i="12" s="1"/>
  <c r="BY14" i="12" s="1"/>
  <c r="K21" i="9"/>
  <c r="AE19" i="12" s="1"/>
  <c r="J21" i="9"/>
  <c r="AD19" i="12" s="1"/>
  <c r="BY19" i="12" s="1"/>
  <c r="K17" i="9"/>
  <c r="AE15" i="12" s="1"/>
  <c r="J17" i="9"/>
  <c r="AD15" i="12" s="1"/>
  <c r="BY15" i="12" s="1"/>
  <c r="K6" i="9"/>
  <c r="AE4" i="12" s="1"/>
  <c r="J6" i="9"/>
  <c r="AD4" i="12" s="1"/>
  <c r="BY4" i="12" s="1"/>
  <c r="J8" i="9"/>
  <c r="AD6" i="12" s="1"/>
  <c r="BY6" i="12" s="1"/>
  <c r="K5" i="9"/>
  <c r="AE3" i="12" s="1"/>
  <c r="J5" i="9"/>
  <c r="AD3" i="12" s="1"/>
  <c r="BY3" i="12" s="1"/>
  <c r="K9" i="9"/>
  <c r="AE7" i="12" s="1"/>
  <c r="J9" i="9"/>
  <c r="AD7" i="12" s="1"/>
  <c r="BY7" i="12" s="1"/>
  <c r="K7" i="9"/>
  <c r="AE5" i="12" s="1"/>
  <c r="J7" i="9"/>
  <c r="AD5" i="12" s="1"/>
  <c r="BY5" i="12" s="1"/>
  <c r="K18" i="9"/>
  <c r="AE16" i="12" s="1"/>
  <c r="J18" i="9"/>
  <c r="AD16" i="12" s="1"/>
  <c r="BY16" i="12" s="1"/>
  <c r="J13" i="9"/>
  <c r="AD11" i="12" s="1"/>
  <c r="BY11" i="12" s="1"/>
  <c r="K22" i="9"/>
  <c r="AE20" i="12" s="1"/>
  <c r="J22" i="9"/>
  <c r="AD20" i="12" s="1"/>
  <c r="BY20" i="12" s="1"/>
  <c r="K16" i="11"/>
  <c r="Y14" i="12" s="1"/>
  <c r="J16" i="11"/>
  <c r="X14" i="12" s="1"/>
  <c r="BX14" i="12" s="1"/>
  <c r="K14" i="11"/>
  <c r="Y12" i="12" s="1"/>
  <c r="J14" i="11"/>
  <c r="X12" i="12" s="1"/>
  <c r="BX12" i="12" s="1"/>
  <c r="K13" i="11"/>
  <c r="Y11" i="12" s="1"/>
  <c r="J13" i="11"/>
  <c r="X11" i="12" s="1"/>
  <c r="BX11" i="12" s="1"/>
  <c r="K18" i="11"/>
  <c r="Y16" i="12" s="1"/>
  <c r="J18" i="11"/>
  <c r="X16" i="12" s="1"/>
  <c r="BX16" i="12" s="1"/>
  <c r="J4" i="11"/>
  <c r="X2" i="12" s="1"/>
  <c r="BX2" i="12" s="1"/>
  <c r="K7" i="11"/>
  <c r="Y5" i="12" s="1"/>
  <c r="J7" i="11"/>
  <c r="X5" i="12" s="1"/>
  <c r="BX5" i="12" s="1"/>
  <c r="K23" i="11"/>
  <c r="Y21" i="12" s="1"/>
  <c r="J23" i="11"/>
  <c r="X21" i="12" s="1"/>
  <c r="BX21" i="12" s="1"/>
  <c r="K17" i="11"/>
  <c r="Y15" i="12" s="1"/>
  <c r="J17" i="11"/>
  <c r="X15" i="12" s="1"/>
  <c r="BX15" i="12" s="1"/>
  <c r="K20" i="11"/>
  <c r="Y18" i="12" s="1"/>
  <c r="J20" i="11"/>
  <c r="X18" i="12" s="1"/>
  <c r="BX18" i="12" s="1"/>
  <c r="K12" i="11"/>
  <c r="Y10" i="12" s="1"/>
  <c r="J12" i="11"/>
  <c r="X10" i="12" s="1"/>
  <c r="BX10" i="12" s="1"/>
  <c r="K21" i="11"/>
  <c r="Y19" i="12" s="1"/>
  <c r="J21" i="11"/>
  <c r="X19" i="12" s="1"/>
  <c r="BX19" i="12" s="1"/>
  <c r="K10" i="11"/>
  <c r="Y8" i="12" s="1"/>
  <c r="J10" i="11"/>
  <c r="X8" i="12" s="1"/>
  <c r="BX8" i="12" s="1"/>
  <c r="K8" i="11"/>
  <c r="Y6" i="12" s="1"/>
  <c r="J8" i="11"/>
  <c r="X6" i="12" s="1"/>
  <c r="BX6" i="12" s="1"/>
  <c r="K16" i="2"/>
  <c r="S14" i="12" s="1"/>
  <c r="J16" i="2"/>
  <c r="R14" i="12" s="1"/>
  <c r="BW14" i="12" s="1"/>
  <c r="K7" i="2"/>
  <c r="S5" i="12" s="1"/>
  <c r="J7" i="2"/>
  <c r="R5" i="12" s="1"/>
  <c r="BW5" i="12" s="1"/>
  <c r="K10" i="2"/>
  <c r="S8" i="12" s="1"/>
  <c r="J10" i="2"/>
  <c r="R8" i="12" s="1"/>
  <c r="BW8" i="12" s="1"/>
  <c r="K15" i="2"/>
  <c r="S13" i="12" s="1"/>
  <c r="J15" i="2"/>
  <c r="R13" i="12" s="1"/>
  <c r="BW13" i="12" s="1"/>
  <c r="K4" i="2"/>
  <c r="S2" i="12" s="1"/>
  <c r="J4" i="2"/>
  <c r="R2" i="12" s="1"/>
  <c r="BW2" i="12" s="1"/>
  <c r="K21" i="2"/>
  <c r="S19" i="12" s="1"/>
  <c r="J21" i="2"/>
  <c r="R19" i="12" s="1"/>
  <c r="BW19" i="12" s="1"/>
  <c r="K8" i="2"/>
  <c r="S6" i="12" s="1"/>
  <c r="J8" i="2"/>
  <c r="R6" i="12" s="1"/>
  <c r="BW6" i="12" s="1"/>
  <c r="K17" i="2"/>
  <c r="S15" i="12" s="1"/>
  <c r="J17" i="2"/>
  <c r="R15" i="12" s="1"/>
  <c r="BW15" i="12" s="1"/>
  <c r="K6" i="2"/>
  <c r="S4" i="12" s="1"/>
  <c r="J6" i="2"/>
  <c r="R4" i="12" s="1"/>
  <c r="BW4" i="12" s="1"/>
  <c r="K9" i="2"/>
  <c r="S7" i="12" s="1"/>
  <c r="J9" i="2"/>
  <c r="R7" i="12" s="1"/>
  <c r="BW7" i="12" s="1"/>
  <c r="K13" i="2"/>
  <c r="S11" i="12" s="1"/>
  <c r="J13" i="2"/>
  <c r="R11" i="12" s="1"/>
  <c r="BW11" i="12" s="1"/>
  <c r="K19" i="2"/>
  <c r="S17" i="12" s="1"/>
  <c r="J19" i="2"/>
  <c r="R17" i="12" s="1"/>
  <c r="BW17" i="12" s="1"/>
  <c r="K14" i="2"/>
  <c r="S12" i="12" s="1"/>
  <c r="J14" i="2"/>
  <c r="R12" i="12" s="1"/>
  <c r="BW12" i="12" s="1"/>
  <c r="J5" i="2"/>
  <c r="R3" i="12" s="1"/>
  <c r="BW3" i="12" s="1"/>
  <c r="K23" i="2"/>
  <c r="S21" i="12" s="1"/>
  <c r="J23" i="2"/>
  <c r="R21" i="12" s="1"/>
  <c r="BW21" i="12" s="1"/>
  <c r="K22" i="2"/>
  <c r="S20" i="12" s="1"/>
  <c r="J22" i="2"/>
  <c r="R20" i="12" s="1"/>
  <c r="BW20" i="12" s="1"/>
  <c r="K12" i="2"/>
  <c r="S10" i="12" s="1"/>
  <c r="J12" i="2"/>
  <c r="R10" i="12" s="1"/>
  <c r="BW10" i="12" s="1"/>
  <c r="K18" i="2"/>
  <c r="S16" i="12" s="1"/>
  <c r="J18" i="2"/>
  <c r="R16" i="12" s="1"/>
  <c r="BW16" i="12" s="1"/>
  <c r="K11" i="2"/>
  <c r="S9" i="12" s="1"/>
  <c r="J11" i="2"/>
  <c r="R9" i="12" s="1"/>
  <c r="BW9" i="12" s="1"/>
  <c r="K20" i="2"/>
  <c r="S18" i="12" s="1"/>
  <c r="J20" i="2"/>
  <c r="R18" i="12" s="1"/>
  <c r="BW18" i="12" s="1"/>
  <c r="K23" i="10"/>
  <c r="AK21" i="12" s="1"/>
  <c r="K17" i="10"/>
  <c r="AK15" i="12" s="1"/>
  <c r="K18" i="10"/>
  <c r="AK16" i="12" s="1"/>
  <c r="K22" i="10"/>
  <c r="AK20" i="12" s="1"/>
  <c r="K16" i="9"/>
  <c r="AE14" i="12" s="1"/>
  <c r="K13" i="9"/>
  <c r="AE11" i="12" s="1"/>
  <c r="K19" i="9"/>
  <c r="AE17" i="12" s="1"/>
  <c r="K8" i="9"/>
  <c r="AE6" i="12" s="1"/>
  <c r="K10" i="9"/>
  <c r="AE8" i="12" s="1"/>
  <c r="K4" i="11"/>
  <c r="Y2" i="12" s="1"/>
  <c r="K18" i="7"/>
  <c r="BI16" i="12" s="1"/>
  <c r="K13" i="7"/>
  <c r="BI11" i="12" s="1"/>
  <c r="K21" i="7"/>
  <c r="BI19" i="12" s="1"/>
  <c r="K7" i="7"/>
  <c r="BI5" i="12" s="1"/>
  <c r="K9" i="7"/>
  <c r="BI7" i="12" s="1"/>
  <c r="K4" i="7"/>
  <c r="BI2" i="12" s="1"/>
  <c r="K5" i="2"/>
  <c r="S3" i="12" s="1"/>
  <c r="AN2" i="12"/>
  <c r="K6" i="5"/>
  <c r="BO4" i="12" s="1"/>
  <c r="K21" i="5"/>
  <c r="BO19" i="12" s="1"/>
  <c r="K4" i="5"/>
  <c r="BO2" i="12" s="1"/>
  <c r="K10" i="5"/>
  <c r="BO8" i="12" s="1"/>
  <c r="K16" i="5"/>
  <c r="BO14" i="12" s="1"/>
  <c r="K16" i="6"/>
  <c r="AW14" i="12" s="1"/>
  <c r="K20" i="6"/>
  <c r="AW18" i="12" s="1"/>
  <c r="K18" i="6"/>
  <c r="AW16" i="12" s="1"/>
  <c r="K17" i="6"/>
  <c r="AW15" i="12" s="1"/>
  <c r="K4" i="6"/>
  <c r="AW2" i="12" s="1"/>
  <c r="K11" i="8"/>
  <c r="AQ9" i="12" s="1"/>
  <c r="K19" i="8"/>
  <c r="AQ17" i="12" s="1"/>
  <c r="K10" i="8"/>
  <c r="AQ8" i="12" s="1"/>
  <c r="K15" i="8"/>
  <c r="AQ13" i="12" s="1"/>
  <c r="K7" i="8"/>
  <c r="AQ5" i="12" s="1"/>
  <c r="K9" i="8"/>
  <c r="AQ7" i="12" s="1"/>
  <c r="AT2" i="12"/>
  <c r="P2" i="12"/>
  <c r="BL2" i="12"/>
  <c r="BF2" i="12"/>
  <c r="V2" i="12"/>
  <c r="I26" i="10" l="1"/>
  <c r="AI24" i="12" s="1"/>
  <c r="I29" i="10"/>
  <c r="AI27" i="12" s="1"/>
  <c r="I20" i="10"/>
  <c r="AI18" i="12" s="1"/>
  <c r="I8" i="10"/>
  <c r="AI6" i="12" s="1"/>
  <c r="K12" i="10"/>
  <c r="AK10" i="12" s="1"/>
  <c r="I7" i="10"/>
  <c r="AI5" i="12" s="1"/>
  <c r="I24" i="10"/>
  <c r="AI22" i="12" s="1"/>
  <c r="I6" i="10"/>
  <c r="AI4" i="12" s="1"/>
  <c r="I13" i="10"/>
  <c r="AI11" i="12" s="1"/>
  <c r="I18" i="10"/>
  <c r="AI16" i="12" s="1"/>
  <c r="CF20" i="12"/>
  <c r="BR14" i="12"/>
  <c r="CF16" i="12"/>
  <c r="BS16" i="12"/>
  <c r="BR8" i="12"/>
  <c r="BS8" i="12"/>
  <c r="BR12" i="12"/>
  <c r="CF12" i="12"/>
  <c r="CF17" i="12"/>
  <c r="BR20" i="12"/>
  <c r="CF11" i="12"/>
  <c r="BS13" i="12"/>
  <c r="BS19" i="12"/>
  <c r="BR17" i="12"/>
  <c r="BS9" i="12"/>
  <c r="BR9" i="12"/>
  <c r="BS14" i="12"/>
  <c r="BR21" i="12"/>
  <c r="CF10" i="12"/>
  <c r="CF19" i="12"/>
  <c r="BS18" i="12"/>
  <c r="CF8" i="12"/>
  <c r="CF13" i="12"/>
  <c r="BR15" i="12"/>
  <c r="CF21" i="12"/>
  <c r="BS7" i="12"/>
  <c r="BR7" i="12"/>
  <c r="CF15" i="12"/>
  <c r="CF9" i="12"/>
  <c r="BS20" i="12"/>
  <c r="BR16" i="12"/>
  <c r="CF3" i="12"/>
  <c r="CF14" i="12"/>
  <c r="BS10" i="12"/>
  <c r="CF18" i="12"/>
  <c r="BS12" i="12"/>
  <c r="BR11" i="12"/>
  <c r="CF7" i="12"/>
  <c r="CF4" i="12"/>
  <c r="BR6" i="12"/>
  <c r="BR4" i="12"/>
  <c r="BR3" i="12"/>
  <c r="CF6" i="12"/>
  <c r="BR5" i="12"/>
  <c r="CF5" i="12"/>
  <c r="BP2" i="12"/>
  <c r="CF2" i="12"/>
  <c r="BQ3" i="12" l="1"/>
  <c r="BQ11" i="12"/>
  <c r="BQ19" i="12"/>
  <c r="BQ27" i="12"/>
  <c r="BQ4" i="12"/>
  <c r="BQ12" i="12"/>
  <c r="BQ20" i="12"/>
  <c r="BQ28" i="12"/>
  <c r="BQ5" i="12"/>
  <c r="BQ13" i="12"/>
  <c r="BQ21" i="12"/>
  <c r="BQ29" i="12"/>
  <c r="BQ6" i="12"/>
  <c r="BQ14" i="12"/>
  <c r="BQ22" i="12"/>
  <c r="BQ30" i="12"/>
  <c r="BQ17" i="12"/>
  <c r="BQ7" i="12"/>
  <c r="BQ15" i="12"/>
  <c r="BQ23" i="12"/>
  <c r="BQ2" i="12"/>
  <c r="BQ8" i="12"/>
  <c r="BQ16" i="12"/>
  <c r="BQ24" i="12"/>
  <c r="BQ25" i="12"/>
  <c r="BQ9" i="12"/>
  <c r="BQ10" i="12"/>
  <c r="BQ18" i="12"/>
  <c r="BQ26" i="12"/>
  <c r="BS4" i="12"/>
  <c r="BS17" i="12"/>
  <c r="BR18" i="12"/>
  <c r="BR19" i="12"/>
  <c r="BR13" i="12"/>
  <c r="BS21" i="12"/>
  <c r="BS6" i="12"/>
  <c r="BS3" i="12"/>
  <c r="BS5" i="12"/>
  <c r="BS2" i="12"/>
  <c r="BR2" i="12"/>
</calcChain>
</file>

<file path=xl/sharedStrings.xml><?xml version="1.0" encoding="utf-8"?>
<sst xmlns="http://schemas.openxmlformats.org/spreadsheetml/2006/main" count="674" uniqueCount="262">
  <si>
    <t>STUDENT INFORMATION LIST</t>
  </si>
  <si>
    <t>ID</t>
  </si>
  <si>
    <t>NAME OF STUDENT</t>
  </si>
  <si>
    <t>FORM</t>
  </si>
  <si>
    <t>SECTION</t>
  </si>
  <si>
    <t>NO. ON ROLL</t>
  </si>
  <si>
    <t>TERM</t>
  </si>
  <si>
    <t>TOTAL ATT.</t>
  </si>
  <si>
    <t>ATT.</t>
  </si>
  <si>
    <t xml:space="preserve">ID </t>
  </si>
  <si>
    <t>TOTAL</t>
  </si>
  <si>
    <t>CLASS SCORE</t>
  </si>
  <si>
    <t>EXAMS SCORE</t>
  </si>
  <si>
    <t>ENGLISH LANGUAGE</t>
  </si>
  <si>
    <t xml:space="preserve">OVERALL SCORE </t>
  </si>
  <si>
    <t>POSITION IN SUBJECT</t>
  </si>
  <si>
    <t>GRADE</t>
  </si>
  <si>
    <t>REMARKS</t>
  </si>
  <si>
    <t>50% (A)</t>
  </si>
  <si>
    <t>SCORE</t>
  </si>
  <si>
    <t>HEADMASTER'S REMARKS</t>
  </si>
  <si>
    <t>CLASS TEACHER'S REMARKS</t>
  </si>
  <si>
    <t>Below average, must buck up.</t>
  </si>
  <si>
    <t>Must work hard.</t>
  </si>
  <si>
    <t>Average performance</t>
  </si>
  <si>
    <t>Very good, keep working hard</t>
  </si>
  <si>
    <t>Excellent, keep it up. Do not rest on your oars.</t>
  </si>
  <si>
    <t>That's an impressive performance, soar higher.</t>
  </si>
  <si>
    <t>Below average, you must work hard. There is the need for parental support.</t>
  </si>
  <si>
    <t>You must sit up.</t>
  </si>
  <si>
    <t>There is more room for improvement.</t>
  </si>
  <si>
    <t>Well done, but you can do better.</t>
  </si>
  <si>
    <t>Good, keep working hard.</t>
  </si>
  <si>
    <t>Good work done, keep improving.</t>
  </si>
  <si>
    <t>Excellent, keep it up.</t>
  </si>
  <si>
    <t>Excellent, performance.</t>
  </si>
  <si>
    <t>GENERAL GRADING SYSTEM</t>
  </si>
  <si>
    <t>MATHEMATICS</t>
  </si>
  <si>
    <t>SCIENCE</t>
  </si>
  <si>
    <t>SOCIAL STUDIES</t>
  </si>
  <si>
    <t>RELIGIOUS AND MORAL EDUCATION</t>
  </si>
  <si>
    <t>FANTE</t>
  </si>
  <si>
    <t>GRAND TOTAL</t>
  </si>
  <si>
    <t>POSITION IN CLASS</t>
  </si>
  <si>
    <t>HEADMASTERS'S REMARKS</t>
  </si>
  <si>
    <t>INTEREST</t>
  </si>
  <si>
    <t>ENGLISH GRADE</t>
  </si>
  <si>
    <t>MATHS GRADE</t>
  </si>
  <si>
    <t>SCIENCE GRADE</t>
  </si>
  <si>
    <t xml:space="preserve">SOCIAL GRADE </t>
  </si>
  <si>
    <t>R.M.E GRADE</t>
  </si>
  <si>
    <t>I.C.T GRADE</t>
  </si>
  <si>
    <t>CAREER GRADE</t>
  </si>
  <si>
    <t>FANTE GRADE</t>
  </si>
  <si>
    <t>AGGREGATE</t>
  </si>
  <si>
    <t>TOTAL SCORE</t>
  </si>
  <si>
    <t>CONDUCT/ATTITUDE</t>
  </si>
  <si>
    <t>TOTAL EXAMS SCORE</t>
  </si>
  <si>
    <t>COMPUTING</t>
  </si>
  <si>
    <t>STUDENT ACADEMIC REPORT</t>
  </si>
  <si>
    <t>NAME</t>
  </si>
  <si>
    <t>AGE</t>
  </si>
  <si>
    <t>YEAR</t>
  </si>
  <si>
    <t>S/N</t>
  </si>
  <si>
    <t>SUBJECT</t>
  </si>
  <si>
    <t>POSITION</t>
  </si>
  <si>
    <t>GRAND TOTAL SCORE</t>
  </si>
  <si>
    <t>ATTENDANCE</t>
  </si>
  <si>
    <t>OUT OF</t>
  </si>
  <si>
    <t>PROMOTION</t>
  </si>
  <si>
    <t>CLASS TEACHER'S SIGNATURE</t>
  </si>
  <si>
    <t>HEADMASTER'S SIGNATURE</t>
  </si>
  <si>
    <t>ENGLISH CLASS SCORE</t>
  </si>
  <si>
    <t>ENGLISH EXAM SCORE</t>
  </si>
  <si>
    <t>MATHEMATICS CLASS SCORE</t>
  </si>
  <si>
    <t>MATHEMATICS EXAM SCORE</t>
  </si>
  <si>
    <t>SCIENCE CLASS SCORE</t>
  </si>
  <si>
    <t>SCIENCE EXAM SCORE</t>
  </si>
  <si>
    <t>SOCIAL STUDIES CLASS SCORE</t>
  </si>
  <si>
    <t>SOCIAL STUDIES EXAM SCORE</t>
  </si>
  <si>
    <t>RELIGIOUS AND MORAL EDUCATION CLASS SCORE</t>
  </si>
  <si>
    <t>RELIGIOUS AND MORAL EDUCATION EXAM SCORE</t>
  </si>
  <si>
    <t>COMPUTING CLASS SCORE</t>
  </si>
  <si>
    <t>COMPUTING EXAM SCORE</t>
  </si>
  <si>
    <t>CAREER TECHNOLOGY CLASS SCORE</t>
  </si>
  <si>
    <t>CAREER TECHNOLOGY EXAM SCORE</t>
  </si>
  <si>
    <t>FANTE CLASS SCORE</t>
  </si>
  <si>
    <t>FANTE EXAM SCORE</t>
  </si>
  <si>
    <r>
      <rPr>
        <b/>
        <sz val="36"/>
        <color theme="1"/>
        <rFont val="Calibri"/>
        <family val="2"/>
        <scheme val="minor"/>
      </rPr>
      <t xml:space="preserve">BLESSED HOME ACADEMY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Post Office Box 24, Kasoa – Central Region.
Email: blessedhomeacademy@yahoo.com
</t>
    </r>
  </si>
  <si>
    <t>P Ex</t>
  </si>
  <si>
    <t>P good</t>
  </si>
  <si>
    <t>P av</t>
  </si>
  <si>
    <t>P BA</t>
  </si>
  <si>
    <t>N Ex</t>
  </si>
  <si>
    <t>N good</t>
  </si>
  <si>
    <t>N av</t>
  </si>
  <si>
    <t>N BA</t>
  </si>
  <si>
    <t>POL Ex</t>
  </si>
  <si>
    <t>POL good</t>
  </si>
  <si>
    <t>POL av</t>
  </si>
  <si>
    <t>POL BA</t>
  </si>
  <si>
    <t>ATT Ex</t>
  </si>
  <si>
    <t>ATT good</t>
  </si>
  <si>
    <t>ATT av</t>
  </si>
  <si>
    <t>ATT BA</t>
  </si>
  <si>
    <t>TIVE Ex</t>
  </si>
  <si>
    <t>TIVE good</t>
  </si>
  <si>
    <t>TIVE av</t>
  </si>
  <si>
    <t>TIVE BA</t>
  </si>
  <si>
    <t>H Ex</t>
  </si>
  <si>
    <t>H good</t>
  </si>
  <si>
    <t>H av</t>
  </si>
  <si>
    <t>HBA</t>
  </si>
  <si>
    <t>√</t>
  </si>
  <si>
    <t>ARREARS</t>
  </si>
  <si>
    <t>NEXT TERM FEES</t>
  </si>
  <si>
    <t>TOTAL FEES</t>
  </si>
  <si>
    <t>Good, can do better.</t>
  </si>
  <si>
    <t>Good, can still do better.</t>
  </si>
  <si>
    <t>CREATIVE ARTS AND DESIGN</t>
  </si>
  <si>
    <t>CAD CLASS SCORE</t>
  </si>
  <si>
    <t>CAD EXAMS SCORE</t>
  </si>
  <si>
    <t>POSTION IN SUBJECT</t>
  </si>
  <si>
    <t>CAREER TECHNOLOGY</t>
  </si>
  <si>
    <t>CAD GRADE</t>
  </si>
  <si>
    <t>Honest</t>
  </si>
  <si>
    <t>Satisfactory</t>
  </si>
  <si>
    <t>Regular in school</t>
  </si>
  <si>
    <t>Generous</t>
  </si>
  <si>
    <t>Dancing</t>
  </si>
  <si>
    <t>Modelling</t>
  </si>
  <si>
    <t>Drama</t>
  </si>
  <si>
    <t>Athletics</t>
  </si>
  <si>
    <t>Reading</t>
  </si>
  <si>
    <t>Acting</t>
  </si>
  <si>
    <t>ONE</t>
  </si>
  <si>
    <t>50% (B)</t>
  </si>
  <si>
    <t>100% (A + B)</t>
  </si>
  <si>
    <t>2025/26</t>
  </si>
  <si>
    <t>EXCELLENT</t>
  </si>
  <si>
    <t>VERY GOOD</t>
  </si>
  <si>
    <t>GOOD</t>
  </si>
  <si>
    <t>HIGH AVERAGE</t>
  </si>
  <si>
    <t>AVERAGE</t>
  </si>
  <si>
    <t>LOW AVERAGE</t>
  </si>
  <si>
    <t>PASS</t>
  </si>
  <si>
    <t>WEAK PASS</t>
  </si>
  <si>
    <t>FAIL</t>
  </si>
  <si>
    <t>CONDUCT</t>
  </si>
  <si>
    <t>Punctual</t>
  </si>
  <si>
    <t>Obedient and sincere</t>
  </si>
  <si>
    <t>Disciplined and well mannered</t>
  </si>
  <si>
    <t>Very industrious</t>
  </si>
  <si>
    <t>Very friendly and accommodating</t>
  </si>
  <si>
    <t>Respectful towards teachers and peers</t>
  </si>
  <si>
    <t>Shows good leadership qualities</t>
  </si>
  <si>
    <t>Hardworking and focused</t>
  </si>
  <si>
    <t>Neat and organised</t>
  </si>
  <si>
    <t>Shows a positive attitude</t>
  </si>
  <si>
    <t>Participates actively in class</t>
  </si>
  <si>
    <t>Calm and composed</t>
  </si>
  <si>
    <t>Demonstrates responsibility</t>
  </si>
  <si>
    <t>Courteous and polite</t>
  </si>
  <si>
    <t>Works well with others</t>
  </si>
  <si>
    <t>Confident and expressive</t>
  </si>
  <si>
    <t>Shows enthusiasm for learning</t>
  </si>
  <si>
    <t>Tolerant and patient</t>
  </si>
  <si>
    <t>Pays attention in class</t>
  </si>
  <si>
    <t>Displays good teamwork skills</t>
  </si>
  <si>
    <t>Shows perseverance in tasks</t>
  </si>
  <si>
    <t>Demonstrates good self control</t>
  </si>
  <si>
    <t>Eager to help classmates</t>
  </si>
  <si>
    <t>Approaches tasks seriously</t>
  </si>
  <si>
    <t>Shows maturity and good judgement</t>
  </si>
  <si>
    <t>Listens attentively to instructions</t>
  </si>
  <si>
    <t>Keeps class rules consistently</t>
  </si>
  <si>
    <t>Demonstrates good cooperation in group work</t>
  </si>
  <si>
    <t>Arts</t>
  </si>
  <si>
    <t>Singing</t>
  </si>
  <si>
    <t>Drawing</t>
  </si>
  <si>
    <t>Painting</t>
  </si>
  <si>
    <t>Writing stories</t>
  </si>
  <si>
    <t>Football</t>
  </si>
  <si>
    <t>Basketball</t>
  </si>
  <si>
    <t>Volleyball</t>
  </si>
  <si>
    <t>Table tennis</t>
  </si>
  <si>
    <t>Science experiments</t>
  </si>
  <si>
    <t>Computing and coding</t>
  </si>
  <si>
    <t>Playing musical instruments</t>
  </si>
  <si>
    <t>Poetry</t>
  </si>
  <si>
    <t>Creative writing</t>
  </si>
  <si>
    <t>Photography</t>
  </si>
  <si>
    <t>Gardening</t>
  </si>
  <si>
    <t>Craft making</t>
  </si>
  <si>
    <t>Public speaking</t>
  </si>
  <si>
    <t>Exploring nature</t>
  </si>
  <si>
    <t>Chess</t>
  </si>
  <si>
    <t>Robotics</t>
  </si>
  <si>
    <t>Sewing and design</t>
  </si>
  <si>
    <t>Poetry recital</t>
  </si>
  <si>
    <t>Research and discovery</t>
  </si>
  <si>
    <t>MAINTENACE</t>
  </si>
  <si>
    <t>SPORTS</t>
  </si>
  <si>
    <t>TOILETRIES</t>
  </si>
  <si>
    <t>ABRAKWAH EVA OWUSUAA</t>
  </si>
  <si>
    <t>ADZILAFU EDWARD</t>
  </si>
  <si>
    <t>AGYEPONG DASEBRE</t>
  </si>
  <si>
    <t>ANIWA JOANA SEYRAM</t>
  </si>
  <si>
    <t>ANNAN AGNES</t>
  </si>
  <si>
    <t>ARTHUR LILLIAN ABENA</t>
  </si>
  <si>
    <t>ASARE JACOB</t>
  </si>
  <si>
    <t>BAAH JOSEPHINE KONADU</t>
  </si>
  <si>
    <t>BAIDOO MIDRED</t>
  </si>
  <si>
    <t>BOAKYE KELVIN OWUSU</t>
  </si>
  <si>
    <t>BOATENG NICHOLAS KELVIN</t>
  </si>
  <si>
    <t>CHARKITEY JOSEPH TETTEY EMEKOH</t>
  </si>
  <si>
    <t>DANKWAH AMA JANEL</t>
  </si>
  <si>
    <t>DANKWAH SHANTEL</t>
  </si>
  <si>
    <t>ESSILFIE ENOCH</t>
  </si>
  <si>
    <t>GANDAA LINDA</t>
  </si>
  <si>
    <t>GEORGINA DUSHIE QUEENSTAR</t>
  </si>
  <si>
    <t>GYAKYE AMPONSAH EKUA</t>
  </si>
  <si>
    <t>MENSAH GLORIA KUSI</t>
  </si>
  <si>
    <t>MENSAH KWASI BLESS</t>
  </si>
  <si>
    <t>MENSAH SHADRACK</t>
  </si>
  <si>
    <t>OFORI RODLYNE NANA ADOMA</t>
  </si>
  <si>
    <t>OPOKU JOEL ODURO SARPONG</t>
  </si>
  <si>
    <t>OPPONG NHYIRABA</t>
  </si>
  <si>
    <t>OPPONG NYAMEBA YAA</t>
  </si>
  <si>
    <t>QUARCOO JESSICA</t>
  </si>
  <si>
    <t>GAKPETOR ISAIAH</t>
  </si>
  <si>
    <t>SUDAIS ABDUL RAHMAN MUSA</t>
  </si>
  <si>
    <t>YEVAKPOR SYLVIA EYRAM</t>
  </si>
  <si>
    <t>BHS9001</t>
  </si>
  <si>
    <t>BHS9002</t>
  </si>
  <si>
    <t>BHS9003</t>
  </si>
  <si>
    <t>BHS9004</t>
  </si>
  <si>
    <t>BHS9005</t>
  </si>
  <si>
    <t>BHS9006</t>
  </si>
  <si>
    <t>BHS9007</t>
  </si>
  <si>
    <t>BHS9008</t>
  </si>
  <si>
    <t>BHS9009</t>
  </si>
  <si>
    <t>BHS9010</t>
  </si>
  <si>
    <t>BHS9011</t>
  </si>
  <si>
    <t>BHS9012</t>
  </si>
  <si>
    <t>BHS9013</t>
  </si>
  <si>
    <t>BHS9014</t>
  </si>
  <si>
    <t>BHS9015</t>
  </si>
  <si>
    <t>BHS9016</t>
  </si>
  <si>
    <t>BHS9017</t>
  </si>
  <si>
    <t>BHS9018</t>
  </si>
  <si>
    <t>BHS9019</t>
  </si>
  <si>
    <t>BHS9020</t>
  </si>
  <si>
    <t>BHS9021</t>
  </si>
  <si>
    <t>BHS9022</t>
  </si>
  <si>
    <t>BHS9023</t>
  </si>
  <si>
    <t>BHS9024</t>
  </si>
  <si>
    <t>BHS9025</t>
  </si>
  <si>
    <t>BHS9026</t>
  </si>
  <si>
    <t>BHS9027</t>
  </si>
  <si>
    <t>BHS9028</t>
  </si>
  <si>
    <t>BHS9029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</si>
</sst>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2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718848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223DD"/>
        <bgColor indexed="64"/>
      </patternFill>
    </fill>
    <fill>
      <patternFill patternType="solid">
        <fgColor rgb="FFFF66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0" fillId="8" borderId="1" xfId="0" applyFill="1" applyBorder="1"/>
    <xf numFmtId="0" fontId="5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4" fillId="15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9" borderId="1" xfId="0" applyFill="1" applyBorder="1"/>
    <xf numFmtId="0" fontId="15" fillId="19" borderId="1" xfId="0" applyFont="1" applyFill="1" applyBorder="1" applyAlignment="1">
      <alignment horizontal="center"/>
    </xf>
    <xf numFmtId="0" fontId="0" fillId="4" borderId="1" xfId="0" applyFill="1" applyBorder="1"/>
    <xf numFmtId="0" fontId="15" fillId="4" borderId="1" xfId="0" applyFont="1" applyFill="1" applyBorder="1" applyAlignment="1">
      <alignment horizontal="center"/>
    </xf>
    <xf numFmtId="0" fontId="0" fillId="20" borderId="1" xfId="0" applyFill="1" applyBorder="1"/>
    <xf numFmtId="0" fontId="15" fillId="20" borderId="1" xfId="0" applyFont="1" applyFill="1" applyBorder="1" applyAlignment="1">
      <alignment horizontal="center"/>
    </xf>
    <xf numFmtId="0" fontId="0" fillId="21" borderId="1" xfId="0" applyFill="1" applyBorder="1"/>
    <xf numFmtId="0" fontId="15" fillId="21" borderId="1" xfId="0" applyFont="1" applyFill="1" applyBorder="1" applyAlignment="1">
      <alignment horizontal="center"/>
    </xf>
    <xf numFmtId="0" fontId="0" fillId="22" borderId="1" xfId="0" applyFill="1" applyBorder="1"/>
    <xf numFmtId="0" fontId="15" fillId="22" borderId="1" xfId="0" applyFont="1" applyFill="1" applyBorder="1" applyAlignment="1">
      <alignment horizontal="center"/>
    </xf>
    <xf numFmtId="0" fontId="0" fillId="23" borderId="1" xfId="0" applyFill="1" applyBorder="1"/>
    <xf numFmtId="0" fontId="15" fillId="2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1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9" fontId="11" fillId="23" borderId="1" xfId="0" applyNumberFormat="1" applyFont="1" applyFill="1" applyBorder="1" applyAlignment="1">
      <alignment horizontal="center" vertical="center"/>
    </xf>
    <xf numFmtId="9" fontId="6" fillId="23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2" fillId="24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/>
    </xf>
    <xf numFmtId="0" fontId="0" fillId="10" borderId="0" xfId="0" applyFill="1"/>
    <xf numFmtId="0" fontId="14" fillId="0" borderId="1" xfId="0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9" fontId="21" fillId="23" borderId="1" xfId="0" applyNumberFormat="1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10" fillId="23" borderId="1" xfId="0" applyNumberFormat="1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wrapText="1"/>
    </xf>
    <xf numFmtId="0" fontId="23" fillId="0" borderId="8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10" borderId="0" xfId="0" applyFont="1" applyFill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 wrapText="1"/>
    </xf>
    <xf numFmtId="0" fontId="14" fillId="3" borderId="5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223DD"/>
      <color rgb="FFFF66CC"/>
      <color rgb="FF718848"/>
      <color rgb="FF66FF33"/>
      <color rgb="FF00FFFF"/>
      <color rgb="FFFF9966"/>
      <color rgb="FF99CCFF"/>
      <color rgb="FF6699FF"/>
      <color rgb="FF9AC808"/>
      <color rgb="FF4A86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11" Type="http://schemas.openxmlformats.org/officeDocument/2006/relationships/image" Target="../media/image11.emf"/><Relationship Id="rId5" Type="http://schemas.openxmlformats.org/officeDocument/2006/relationships/image" Target="../media/image3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</xdr:row>
          <xdr:rowOff>19050</xdr:rowOff>
        </xdr:from>
        <xdr:to>
          <xdr:col>73</xdr:col>
          <xdr:colOff>9525</xdr:colOff>
          <xdr:row>1</xdr:row>
          <xdr:rowOff>285750</xdr:rowOff>
        </xdr:to>
        <xdr:sp macro="" textlink="">
          <xdr:nvSpPr>
            <xdr:cNvPr id="1122" name="ComboBox1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B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</xdr:row>
          <xdr:rowOff>19050</xdr:rowOff>
        </xdr:from>
        <xdr:to>
          <xdr:col>73</xdr:col>
          <xdr:colOff>0</xdr:colOff>
          <xdr:row>3</xdr:row>
          <xdr:rowOff>0</xdr:rowOff>
        </xdr:to>
        <xdr:sp macro="" textlink="">
          <xdr:nvSpPr>
            <xdr:cNvPr id="1177" name="ComboBox2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3</xdr:row>
          <xdr:rowOff>19050</xdr:rowOff>
        </xdr:from>
        <xdr:to>
          <xdr:col>73</xdr:col>
          <xdr:colOff>0</xdr:colOff>
          <xdr:row>4</xdr:row>
          <xdr:rowOff>0</xdr:rowOff>
        </xdr:to>
        <xdr:sp macro="" textlink="">
          <xdr:nvSpPr>
            <xdr:cNvPr id="1178" name="ComboBox3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4</xdr:row>
          <xdr:rowOff>19050</xdr:rowOff>
        </xdr:from>
        <xdr:to>
          <xdr:col>73</xdr:col>
          <xdr:colOff>0</xdr:colOff>
          <xdr:row>4</xdr:row>
          <xdr:rowOff>285750</xdr:rowOff>
        </xdr:to>
        <xdr:sp macro="" textlink="">
          <xdr:nvSpPr>
            <xdr:cNvPr id="1180" name="ComboBox4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B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6</xdr:row>
          <xdr:rowOff>19050</xdr:rowOff>
        </xdr:from>
        <xdr:to>
          <xdr:col>73</xdr:col>
          <xdr:colOff>0</xdr:colOff>
          <xdr:row>6</xdr:row>
          <xdr:rowOff>285750</xdr:rowOff>
        </xdr:to>
        <xdr:sp macro="" textlink="">
          <xdr:nvSpPr>
            <xdr:cNvPr id="1181" name="ComboBox5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B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7</xdr:row>
          <xdr:rowOff>19050</xdr:rowOff>
        </xdr:from>
        <xdr:to>
          <xdr:col>73</xdr:col>
          <xdr:colOff>0</xdr:colOff>
          <xdr:row>7</xdr:row>
          <xdr:rowOff>285750</xdr:rowOff>
        </xdr:to>
        <xdr:sp macro="" textlink="">
          <xdr:nvSpPr>
            <xdr:cNvPr id="1182" name="ComboBox6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B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8</xdr:row>
          <xdr:rowOff>19050</xdr:rowOff>
        </xdr:from>
        <xdr:to>
          <xdr:col>73</xdr:col>
          <xdr:colOff>0</xdr:colOff>
          <xdr:row>8</xdr:row>
          <xdr:rowOff>285750</xdr:rowOff>
        </xdr:to>
        <xdr:sp macro="" textlink="">
          <xdr:nvSpPr>
            <xdr:cNvPr id="1183" name="ComboBox7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B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9</xdr:row>
          <xdr:rowOff>19050</xdr:rowOff>
        </xdr:from>
        <xdr:to>
          <xdr:col>73</xdr:col>
          <xdr:colOff>0</xdr:colOff>
          <xdr:row>9</xdr:row>
          <xdr:rowOff>285750</xdr:rowOff>
        </xdr:to>
        <xdr:sp macro="" textlink="">
          <xdr:nvSpPr>
            <xdr:cNvPr id="1184" name="ComboBox8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B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10</xdr:row>
          <xdr:rowOff>19050</xdr:rowOff>
        </xdr:from>
        <xdr:to>
          <xdr:col>73</xdr:col>
          <xdr:colOff>0</xdr:colOff>
          <xdr:row>10</xdr:row>
          <xdr:rowOff>285750</xdr:rowOff>
        </xdr:to>
        <xdr:sp macro="" textlink="">
          <xdr:nvSpPr>
            <xdr:cNvPr id="1185" name="ComboBox9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B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11</xdr:row>
          <xdr:rowOff>19050</xdr:rowOff>
        </xdr:from>
        <xdr:to>
          <xdr:col>73</xdr:col>
          <xdr:colOff>0</xdr:colOff>
          <xdr:row>11</xdr:row>
          <xdr:rowOff>285750</xdr:rowOff>
        </xdr:to>
        <xdr:sp macro="" textlink="">
          <xdr:nvSpPr>
            <xdr:cNvPr id="1186" name="ComboBox10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B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12</xdr:row>
          <xdr:rowOff>19050</xdr:rowOff>
        </xdr:from>
        <xdr:to>
          <xdr:col>73</xdr:col>
          <xdr:colOff>0</xdr:colOff>
          <xdr:row>12</xdr:row>
          <xdr:rowOff>285750</xdr:rowOff>
        </xdr:to>
        <xdr:sp macro="" textlink="">
          <xdr:nvSpPr>
            <xdr:cNvPr id="1187" name="ComboBox11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B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13</xdr:row>
          <xdr:rowOff>19050</xdr:rowOff>
        </xdr:from>
        <xdr:to>
          <xdr:col>73</xdr:col>
          <xdr:colOff>0</xdr:colOff>
          <xdr:row>14</xdr:row>
          <xdr:rowOff>9525</xdr:rowOff>
        </xdr:to>
        <xdr:sp macro="" textlink="">
          <xdr:nvSpPr>
            <xdr:cNvPr id="1188" name="ComboBox12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B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14</xdr:row>
          <xdr:rowOff>19050</xdr:rowOff>
        </xdr:from>
        <xdr:to>
          <xdr:col>73</xdr:col>
          <xdr:colOff>0</xdr:colOff>
          <xdr:row>15</xdr:row>
          <xdr:rowOff>0</xdr:rowOff>
        </xdr:to>
        <xdr:sp macro="" textlink="">
          <xdr:nvSpPr>
            <xdr:cNvPr id="1189" name="ComboBox13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B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15</xdr:row>
          <xdr:rowOff>19050</xdr:rowOff>
        </xdr:from>
        <xdr:to>
          <xdr:col>73</xdr:col>
          <xdr:colOff>0</xdr:colOff>
          <xdr:row>15</xdr:row>
          <xdr:rowOff>285750</xdr:rowOff>
        </xdr:to>
        <xdr:sp macro="" textlink="">
          <xdr:nvSpPr>
            <xdr:cNvPr id="1190" name="ComboBox14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16</xdr:row>
          <xdr:rowOff>19050</xdr:rowOff>
        </xdr:from>
        <xdr:to>
          <xdr:col>73</xdr:col>
          <xdr:colOff>0</xdr:colOff>
          <xdr:row>16</xdr:row>
          <xdr:rowOff>285750</xdr:rowOff>
        </xdr:to>
        <xdr:sp macro="" textlink="">
          <xdr:nvSpPr>
            <xdr:cNvPr id="1191" name="ComboBox15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17</xdr:row>
          <xdr:rowOff>19050</xdr:rowOff>
        </xdr:from>
        <xdr:to>
          <xdr:col>73</xdr:col>
          <xdr:colOff>0</xdr:colOff>
          <xdr:row>17</xdr:row>
          <xdr:rowOff>285750</xdr:rowOff>
        </xdr:to>
        <xdr:sp macro="" textlink="">
          <xdr:nvSpPr>
            <xdr:cNvPr id="1192" name="ComboBox16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B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18</xdr:row>
          <xdr:rowOff>19050</xdr:rowOff>
        </xdr:from>
        <xdr:to>
          <xdr:col>73</xdr:col>
          <xdr:colOff>0</xdr:colOff>
          <xdr:row>18</xdr:row>
          <xdr:rowOff>285750</xdr:rowOff>
        </xdr:to>
        <xdr:sp macro="" textlink="">
          <xdr:nvSpPr>
            <xdr:cNvPr id="1193" name="ComboBox17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B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19</xdr:row>
          <xdr:rowOff>19050</xdr:rowOff>
        </xdr:from>
        <xdr:to>
          <xdr:col>73</xdr:col>
          <xdr:colOff>0</xdr:colOff>
          <xdr:row>19</xdr:row>
          <xdr:rowOff>285750</xdr:rowOff>
        </xdr:to>
        <xdr:sp macro="" textlink="">
          <xdr:nvSpPr>
            <xdr:cNvPr id="1194" name="ComboBox18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B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20</xdr:row>
          <xdr:rowOff>19050</xdr:rowOff>
        </xdr:from>
        <xdr:to>
          <xdr:col>73</xdr:col>
          <xdr:colOff>0</xdr:colOff>
          <xdr:row>20</xdr:row>
          <xdr:rowOff>285750</xdr:rowOff>
        </xdr:to>
        <xdr:sp macro="" textlink="">
          <xdr:nvSpPr>
            <xdr:cNvPr id="1195" name="ComboBox19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B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21</xdr:row>
          <xdr:rowOff>19050</xdr:rowOff>
        </xdr:from>
        <xdr:to>
          <xdr:col>73</xdr:col>
          <xdr:colOff>0</xdr:colOff>
          <xdr:row>21</xdr:row>
          <xdr:rowOff>285750</xdr:rowOff>
        </xdr:to>
        <xdr:sp macro="" textlink="">
          <xdr:nvSpPr>
            <xdr:cNvPr id="1196" name="ComboBox20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B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22</xdr:row>
          <xdr:rowOff>19050</xdr:rowOff>
        </xdr:from>
        <xdr:to>
          <xdr:col>73</xdr:col>
          <xdr:colOff>0</xdr:colOff>
          <xdr:row>22</xdr:row>
          <xdr:rowOff>285750</xdr:rowOff>
        </xdr:to>
        <xdr:sp macro="" textlink="">
          <xdr:nvSpPr>
            <xdr:cNvPr id="1197" name="ComboBox21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B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23</xdr:row>
          <xdr:rowOff>19050</xdr:rowOff>
        </xdr:from>
        <xdr:to>
          <xdr:col>73</xdr:col>
          <xdr:colOff>0</xdr:colOff>
          <xdr:row>23</xdr:row>
          <xdr:rowOff>285750</xdr:rowOff>
        </xdr:to>
        <xdr:sp macro="" textlink="">
          <xdr:nvSpPr>
            <xdr:cNvPr id="1198" name="ComboBox22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B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24</xdr:row>
          <xdr:rowOff>19050</xdr:rowOff>
        </xdr:from>
        <xdr:to>
          <xdr:col>73</xdr:col>
          <xdr:colOff>0</xdr:colOff>
          <xdr:row>24</xdr:row>
          <xdr:rowOff>285750</xdr:rowOff>
        </xdr:to>
        <xdr:sp macro="" textlink="">
          <xdr:nvSpPr>
            <xdr:cNvPr id="1199" name="ComboBox23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B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25</xdr:row>
          <xdr:rowOff>19050</xdr:rowOff>
        </xdr:from>
        <xdr:to>
          <xdr:col>73</xdr:col>
          <xdr:colOff>0</xdr:colOff>
          <xdr:row>25</xdr:row>
          <xdr:rowOff>285750</xdr:rowOff>
        </xdr:to>
        <xdr:sp macro="" textlink="">
          <xdr:nvSpPr>
            <xdr:cNvPr id="1200" name="ComboBox24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B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26</xdr:row>
          <xdr:rowOff>19050</xdr:rowOff>
        </xdr:from>
        <xdr:to>
          <xdr:col>73</xdr:col>
          <xdr:colOff>0</xdr:colOff>
          <xdr:row>26</xdr:row>
          <xdr:rowOff>285750</xdr:rowOff>
        </xdr:to>
        <xdr:sp macro="" textlink="">
          <xdr:nvSpPr>
            <xdr:cNvPr id="1201" name="ComboBox25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B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27</xdr:row>
          <xdr:rowOff>19050</xdr:rowOff>
        </xdr:from>
        <xdr:to>
          <xdr:col>73</xdr:col>
          <xdr:colOff>0</xdr:colOff>
          <xdr:row>27</xdr:row>
          <xdr:rowOff>285750</xdr:rowOff>
        </xdr:to>
        <xdr:sp macro="" textlink="">
          <xdr:nvSpPr>
            <xdr:cNvPr id="1202" name="ComboBox26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B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28</xdr:row>
          <xdr:rowOff>19050</xdr:rowOff>
        </xdr:from>
        <xdr:to>
          <xdr:col>73</xdr:col>
          <xdr:colOff>0</xdr:colOff>
          <xdr:row>28</xdr:row>
          <xdr:rowOff>285750</xdr:rowOff>
        </xdr:to>
        <xdr:sp macro="" textlink="">
          <xdr:nvSpPr>
            <xdr:cNvPr id="1203" name="ComboBox27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29</xdr:row>
          <xdr:rowOff>19050</xdr:rowOff>
        </xdr:from>
        <xdr:to>
          <xdr:col>73</xdr:col>
          <xdr:colOff>0</xdr:colOff>
          <xdr:row>29</xdr:row>
          <xdr:rowOff>285750</xdr:rowOff>
        </xdr:to>
        <xdr:sp macro="" textlink="">
          <xdr:nvSpPr>
            <xdr:cNvPr id="1204" name="ComboBox28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</xdr:row>
          <xdr:rowOff>19050</xdr:rowOff>
        </xdr:from>
        <xdr:to>
          <xdr:col>74</xdr:col>
          <xdr:colOff>28575</xdr:colOff>
          <xdr:row>1</xdr:row>
          <xdr:rowOff>285750</xdr:rowOff>
        </xdr:to>
        <xdr:sp macro="" textlink="">
          <xdr:nvSpPr>
            <xdr:cNvPr id="1218" name="ComboBox4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B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9525</xdr:colOff>
          <xdr:row>5</xdr:row>
          <xdr:rowOff>19050</xdr:rowOff>
        </xdr:from>
        <xdr:to>
          <xdr:col>73</xdr:col>
          <xdr:colOff>0</xdr:colOff>
          <xdr:row>5</xdr:row>
          <xdr:rowOff>285750</xdr:rowOff>
        </xdr:to>
        <xdr:sp macro="" textlink="">
          <xdr:nvSpPr>
            <xdr:cNvPr id="1219" name="ComboBox3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B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</xdr:row>
          <xdr:rowOff>19050</xdr:rowOff>
        </xdr:from>
        <xdr:to>
          <xdr:col>74</xdr:col>
          <xdr:colOff>28575</xdr:colOff>
          <xdr:row>3</xdr:row>
          <xdr:rowOff>0</xdr:rowOff>
        </xdr:to>
        <xdr:sp macro="" textlink="">
          <xdr:nvSpPr>
            <xdr:cNvPr id="1220" name="ComboBox3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B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3</xdr:row>
          <xdr:rowOff>19050</xdr:rowOff>
        </xdr:from>
        <xdr:to>
          <xdr:col>74</xdr:col>
          <xdr:colOff>28575</xdr:colOff>
          <xdr:row>4</xdr:row>
          <xdr:rowOff>0</xdr:rowOff>
        </xdr:to>
        <xdr:sp macro="" textlink="">
          <xdr:nvSpPr>
            <xdr:cNvPr id="1221" name="ComboBox45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B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4</xdr:row>
          <xdr:rowOff>19050</xdr:rowOff>
        </xdr:from>
        <xdr:to>
          <xdr:col>74</xdr:col>
          <xdr:colOff>28575</xdr:colOff>
          <xdr:row>4</xdr:row>
          <xdr:rowOff>285750</xdr:rowOff>
        </xdr:to>
        <xdr:sp macro="" textlink="">
          <xdr:nvSpPr>
            <xdr:cNvPr id="1222" name="ComboBox46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B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5</xdr:row>
          <xdr:rowOff>19050</xdr:rowOff>
        </xdr:from>
        <xdr:to>
          <xdr:col>74</xdr:col>
          <xdr:colOff>28575</xdr:colOff>
          <xdr:row>5</xdr:row>
          <xdr:rowOff>285750</xdr:rowOff>
        </xdr:to>
        <xdr:sp macro="" textlink="">
          <xdr:nvSpPr>
            <xdr:cNvPr id="1223" name="ComboBox47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B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6</xdr:row>
          <xdr:rowOff>19050</xdr:rowOff>
        </xdr:from>
        <xdr:to>
          <xdr:col>74</xdr:col>
          <xdr:colOff>28575</xdr:colOff>
          <xdr:row>6</xdr:row>
          <xdr:rowOff>285750</xdr:rowOff>
        </xdr:to>
        <xdr:sp macro="" textlink="">
          <xdr:nvSpPr>
            <xdr:cNvPr id="1224" name="ComboBox48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B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7</xdr:row>
          <xdr:rowOff>19050</xdr:rowOff>
        </xdr:from>
        <xdr:to>
          <xdr:col>74</xdr:col>
          <xdr:colOff>28575</xdr:colOff>
          <xdr:row>7</xdr:row>
          <xdr:rowOff>333375</xdr:rowOff>
        </xdr:to>
        <xdr:sp macro="" textlink="">
          <xdr:nvSpPr>
            <xdr:cNvPr id="1225" name="ComboBox49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B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8</xdr:row>
          <xdr:rowOff>19050</xdr:rowOff>
        </xdr:from>
        <xdr:to>
          <xdr:col>74</xdr:col>
          <xdr:colOff>28575</xdr:colOff>
          <xdr:row>8</xdr:row>
          <xdr:rowOff>285750</xdr:rowOff>
        </xdr:to>
        <xdr:sp macro="" textlink="">
          <xdr:nvSpPr>
            <xdr:cNvPr id="1226" name="ComboBox50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B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9</xdr:row>
          <xdr:rowOff>19050</xdr:rowOff>
        </xdr:from>
        <xdr:to>
          <xdr:col>74</xdr:col>
          <xdr:colOff>28575</xdr:colOff>
          <xdr:row>9</xdr:row>
          <xdr:rowOff>285750</xdr:rowOff>
        </xdr:to>
        <xdr:sp macro="" textlink="">
          <xdr:nvSpPr>
            <xdr:cNvPr id="1227" name="ComboBox51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B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10</xdr:row>
          <xdr:rowOff>19050</xdr:rowOff>
        </xdr:from>
        <xdr:to>
          <xdr:col>74</xdr:col>
          <xdr:colOff>28575</xdr:colOff>
          <xdr:row>10</xdr:row>
          <xdr:rowOff>285750</xdr:rowOff>
        </xdr:to>
        <xdr:sp macro="" textlink="">
          <xdr:nvSpPr>
            <xdr:cNvPr id="1228" name="ComboBox52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B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11</xdr:row>
          <xdr:rowOff>19050</xdr:rowOff>
        </xdr:from>
        <xdr:to>
          <xdr:col>74</xdr:col>
          <xdr:colOff>28575</xdr:colOff>
          <xdr:row>11</xdr:row>
          <xdr:rowOff>285750</xdr:rowOff>
        </xdr:to>
        <xdr:sp macro="" textlink="">
          <xdr:nvSpPr>
            <xdr:cNvPr id="1229" name="ComboBox53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12</xdr:row>
          <xdr:rowOff>19050</xdr:rowOff>
        </xdr:from>
        <xdr:to>
          <xdr:col>74</xdr:col>
          <xdr:colOff>28575</xdr:colOff>
          <xdr:row>12</xdr:row>
          <xdr:rowOff>285750</xdr:rowOff>
        </xdr:to>
        <xdr:sp macro="" textlink="">
          <xdr:nvSpPr>
            <xdr:cNvPr id="1230" name="ComboBox54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13</xdr:row>
          <xdr:rowOff>19050</xdr:rowOff>
        </xdr:from>
        <xdr:to>
          <xdr:col>74</xdr:col>
          <xdr:colOff>28575</xdr:colOff>
          <xdr:row>14</xdr:row>
          <xdr:rowOff>9525</xdr:rowOff>
        </xdr:to>
        <xdr:sp macro="" textlink="">
          <xdr:nvSpPr>
            <xdr:cNvPr id="1231" name="ComboBox55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B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14</xdr:row>
          <xdr:rowOff>19050</xdr:rowOff>
        </xdr:from>
        <xdr:to>
          <xdr:col>74</xdr:col>
          <xdr:colOff>28575</xdr:colOff>
          <xdr:row>15</xdr:row>
          <xdr:rowOff>0</xdr:rowOff>
        </xdr:to>
        <xdr:sp macro="" textlink="">
          <xdr:nvSpPr>
            <xdr:cNvPr id="1232" name="ComboBox56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B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15</xdr:row>
          <xdr:rowOff>19050</xdr:rowOff>
        </xdr:from>
        <xdr:to>
          <xdr:col>74</xdr:col>
          <xdr:colOff>28575</xdr:colOff>
          <xdr:row>15</xdr:row>
          <xdr:rowOff>285750</xdr:rowOff>
        </xdr:to>
        <xdr:sp macro="" textlink="">
          <xdr:nvSpPr>
            <xdr:cNvPr id="1233" name="ComboBox57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B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16</xdr:row>
          <xdr:rowOff>19050</xdr:rowOff>
        </xdr:from>
        <xdr:to>
          <xdr:col>74</xdr:col>
          <xdr:colOff>28575</xdr:colOff>
          <xdr:row>16</xdr:row>
          <xdr:rowOff>285750</xdr:rowOff>
        </xdr:to>
        <xdr:sp macro="" textlink="">
          <xdr:nvSpPr>
            <xdr:cNvPr id="1234" name="ComboBox58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B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17</xdr:row>
          <xdr:rowOff>19050</xdr:rowOff>
        </xdr:from>
        <xdr:to>
          <xdr:col>74</xdr:col>
          <xdr:colOff>28575</xdr:colOff>
          <xdr:row>17</xdr:row>
          <xdr:rowOff>285750</xdr:rowOff>
        </xdr:to>
        <xdr:sp macro="" textlink="">
          <xdr:nvSpPr>
            <xdr:cNvPr id="1235" name="ComboBox59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B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18</xdr:row>
          <xdr:rowOff>19050</xdr:rowOff>
        </xdr:from>
        <xdr:to>
          <xdr:col>74</xdr:col>
          <xdr:colOff>28575</xdr:colOff>
          <xdr:row>18</xdr:row>
          <xdr:rowOff>285750</xdr:rowOff>
        </xdr:to>
        <xdr:sp macro="" textlink="">
          <xdr:nvSpPr>
            <xdr:cNvPr id="1236" name="ComboBox60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B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19</xdr:row>
          <xdr:rowOff>19050</xdr:rowOff>
        </xdr:from>
        <xdr:to>
          <xdr:col>74</xdr:col>
          <xdr:colOff>28575</xdr:colOff>
          <xdr:row>19</xdr:row>
          <xdr:rowOff>285750</xdr:rowOff>
        </xdr:to>
        <xdr:sp macro="" textlink="">
          <xdr:nvSpPr>
            <xdr:cNvPr id="1237" name="ComboBox61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B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20</xdr:row>
          <xdr:rowOff>19050</xdr:rowOff>
        </xdr:from>
        <xdr:to>
          <xdr:col>74</xdr:col>
          <xdr:colOff>28575</xdr:colOff>
          <xdr:row>20</xdr:row>
          <xdr:rowOff>285750</xdr:rowOff>
        </xdr:to>
        <xdr:sp macro="" textlink="">
          <xdr:nvSpPr>
            <xdr:cNvPr id="1238" name="ComboBox62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B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21</xdr:row>
          <xdr:rowOff>19050</xdr:rowOff>
        </xdr:from>
        <xdr:to>
          <xdr:col>74</xdr:col>
          <xdr:colOff>28575</xdr:colOff>
          <xdr:row>21</xdr:row>
          <xdr:rowOff>285750</xdr:rowOff>
        </xdr:to>
        <xdr:sp macro="" textlink="">
          <xdr:nvSpPr>
            <xdr:cNvPr id="1239" name="ComboBox63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B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22</xdr:row>
          <xdr:rowOff>19050</xdr:rowOff>
        </xdr:from>
        <xdr:to>
          <xdr:col>74</xdr:col>
          <xdr:colOff>28575</xdr:colOff>
          <xdr:row>22</xdr:row>
          <xdr:rowOff>285750</xdr:rowOff>
        </xdr:to>
        <xdr:sp macro="" textlink="">
          <xdr:nvSpPr>
            <xdr:cNvPr id="1240" name="ComboBox64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B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23</xdr:row>
          <xdr:rowOff>19050</xdr:rowOff>
        </xdr:from>
        <xdr:to>
          <xdr:col>74</xdr:col>
          <xdr:colOff>28575</xdr:colOff>
          <xdr:row>23</xdr:row>
          <xdr:rowOff>285750</xdr:rowOff>
        </xdr:to>
        <xdr:sp macro="" textlink="">
          <xdr:nvSpPr>
            <xdr:cNvPr id="1241" name="ComboBox65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B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24</xdr:row>
          <xdr:rowOff>19050</xdr:rowOff>
        </xdr:from>
        <xdr:to>
          <xdr:col>74</xdr:col>
          <xdr:colOff>28575</xdr:colOff>
          <xdr:row>24</xdr:row>
          <xdr:rowOff>285750</xdr:rowOff>
        </xdr:to>
        <xdr:sp macro="" textlink="">
          <xdr:nvSpPr>
            <xdr:cNvPr id="1242" name="ComboBox66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25</xdr:row>
          <xdr:rowOff>19050</xdr:rowOff>
        </xdr:from>
        <xdr:to>
          <xdr:col>74</xdr:col>
          <xdr:colOff>28575</xdr:colOff>
          <xdr:row>25</xdr:row>
          <xdr:rowOff>285750</xdr:rowOff>
        </xdr:to>
        <xdr:sp macro="" textlink="">
          <xdr:nvSpPr>
            <xdr:cNvPr id="1243" name="ComboBox67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26</xdr:row>
          <xdr:rowOff>19050</xdr:rowOff>
        </xdr:from>
        <xdr:to>
          <xdr:col>74</xdr:col>
          <xdr:colOff>28575</xdr:colOff>
          <xdr:row>26</xdr:row>
          <xdr:rowOff>285750</xdr:rowOff>
        </xdr:to>
        <xdr:sp macro="" textlink="">
          <xdr:nvSpPr>
            <xdr:cNvPr id="1244" name="ComboBox68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B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27</xdr:row>
          <xdr:rowOff>19050</xdr:rowOff>
        </xdr:from>
        <xdr:to>
          <xdr:col>74</xdr:col>
          <xdr:colOff>28575</xdr:colOff>
          <xdr:row>27</xdr:row>
          <xdr:rowOff>285750</xdr:rowOff>
        </xdr:to>
        <xdr:sp macro="" textlink="">
          <xdr:nvSpPr>
            <xdr:cNvPr id="1245" name="ComboBox69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B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28</xdr:row>
          <xdr:rowOff>19050</xdr:rowOff>
        </xdr:from>
        <xdr:to>
          <xdr:col>74</xdr:col>
          <xdr:colOff>28575</xdr:colOff>
          <xdr:row>28</xdr:row>
          <xdr:rowOff>285750</xdr:rowOff>
        </xdr:to>
        <xdr:sp macro="" textlink="">
          <xdr:nvSpPr>
            <xdr:cNvPr id="1246" name="ComboBox70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B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73</xdr:col>
          <xdr:colOff>9525</xdr:colOff>
          <xdr:row>29</xdr:row>
          <xdr:rowOff>19050</xdr:rowOff>
        </xdr:from>
        <xdr:to>
          <xdr:col>74</xdr:col>
          <xdr:colOff>28575</xdr:colOff>
          <xdr:row>29</xdr:row>
          <xdr:rowOff>285750</xdr:rowOff>
        </xdr:to>
        <xdr:sp macro="" textlink="">
          <xdr:nvSpPr>
            <xdr:cNvPr id="1247" name="ComboBox71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B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20.xml"/><Relationship Id="rId21" Type="http://schemas.openxmlformats.org/officeDocument/2006/relationships/control" Target="../activeX/activeX15.xml"/><Relationship Id="rId42" Type="http://schemas.openxmlformats.org/officeDocument/2006/relationships/image" Target="../media/image8.emf"/><Relationship Id="rId47" Type="http://schemas.openxmlformats.org/officeDocument/2006/relationships/control" Target="../activeX/activeX34.xml"/><Relationship Id="rId63" Type="http://schemas.openxmlformats.org/officeDocument/2006/relationships/control" Target="../activeX/activeX49.xml"/><Relationship Id="rId68" Type="http://schemas.openxmlformats.org/officeDocument/2006/relationships/control" Target="../activeX/activeX54.xml"/><Relationship Id="rId7" Type="http://schemas.openxmlformats.org/officeDocument/2006/relationships/image" Target="../media/image2.emf"/><Relationship Id="rId71" Type="http://schemas.openxmlformats.org/officeDocument/2006/relationships/control" Target="../activeX/activeX57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9" Type="http://schemas.openxmlformats.org/officeDocument/2006/relationships/control" Target="../activeX/activeX23.xml"/><Relationship Id="rId11" Type="http://schemas.openxmlformats.org/officeDocument/2006/relationships/control" Target="../activeX/activeX5.xml"/><Relationship Id="rId24" Type="http://schemas.openxmlformats.org/officeDocument/2006/relationships/control" Target="../activeX/activeX18.xml"/><Relationship Id="rId32" Type="http://schemas.openxmlformats.org/officeDocument/2006/relationships/control" Target="../activeX/activeX26.xml"/><Relationship Id="rId37" Type="http://schemas.openxmlformats.org/officeDocument/2006/relationships/control" Target="../activeX/activeX29.xml"/><Relationship Id="rId40" Type="http://schemas.openxmlformats.org/officeDocument/2006/relationships/image" Target="../media/image7.emf"/><Relationship Id="rId45" Type="http://schemas.openxmlformats.org/officeDocument/2006/relationships/control" Target="../activeX/activeX33.xml"/><Relationship Id="rId53" Type="http://schemas.openxmlformats.org/officeDocument/2006/relationships/control" Target="../activeX/activeX39.xml"/><Relationship Id="rId58" Type="http://schemas.openxmlformats.org/officeDocument/2006/relationships/control" Target="../activeX/activeX44.xml"/><Relationship Id="rId66" Type="http://schemas.openxmlformats.org/officeDocument/2006/relationships/control" Target="../activeX/activeX52.xml"/><Relationship Id="rId5" Type="http://schemas.openxmlformats.org/officeDocument/2006/relationships/image" Target="../media/image1.emf"/><Relationship Id="rId61" Type="http://schemas.openxmlformats.org/officeDocument/2006/relationships/control" Target="../activeX/activeX47.xml"/><Relationship Id="rId19" Type="http://schemas.openxmlformats.org/officeDocument/2006/relationships/control" Target="../activeX/activeX13.xml"/><Relationship Id="rId14" Type="http://schemas.openxmlformats.org/officeDocument/2006/relationships/control" Target="../activeX/activeX8.xml"/><Relationship Id="rId22" Type="http://schemas.openxmlformats.org/officeDocument/2006/relationships/control" Target="../activeX/activeX16.xml"/><Relationship Id="rId27" Type="http://schemas.openxmlformats.org/officeDocument/2006/relationships/control" Target="../activeX/activeX21.xml"/><Relationship Id="rId30" Type="http://schemas.openxmlformats.org/officeDocument/2006/relationships/control" Target="../activeX/activeX24.xml"/><Relationship Id="rId35" Type="http://schemas.openxmlformats.org/officeDocument/2006/relationships/control" Target="../activeX/activeX28.xml"/><Relationship Id="rId43" Type="http://schemas.openxmlformats.org/officeDocument/2006/relationships/control" Target="../activeX/activeX32.xml"/><Relationship Id="rId48" Type="http://schemas.openxmlformats.org/officeDocument/2006/relationships/control" Target="../activeX/activeX35.xml"/><Relationship Id="rId56" Type="http://schemas.openxmlformats.org/officeDocument/2006/relationships/control" Target="../activeX/activeX42.xml"/><Relationship Id="rId64" Type="http://schemas.openxmlformats.org/officeDocument/2006/relationships/control" Target="../activeX/activeX50.xml"/><Relationship Id="rId69" Type="http://schemas.openxmlformats.org/officeDocument/2006/relationships/control" Target="../activeX/activeX55.xml"/><Relationship Id="rId8" Type="http://schemas.openxmlformats.org/officeDocument/2006/relationships/control" Target="../activeX/activeX3.xml"/><Relationship Id="rId51" Type="http://schemas.openxmlformats.org/officeDocument/2006/relationships/control" Target="../activeX/activeX37.xml"/><Relationship Id="rId72" Type="http://schemas.openxmlformats.org/officeDocument/2006/relationships/control" Target="../activeX/activeX58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6.xml"/><Relationship Id="rId17" Type="http://schemas.openxmlformats.org/officeDocument/2006/relationships/control" Target="../activeX/activeX11.xml"/><Relationship Id="rId25" Type="http://schemas.openxmlformats.org/officeDocument/2006/relationships/control" Target="../activeX/activeX19.xml"/><Relationship Id="rId33" Type="http://schemas.openxmlformats.org/officeDocument/2006/relationships/control" Target="../activeX/activeX27.xml"/><Relationship Id="rId38" Type="http://schemas.openxmlformats.org/officeDocument/2006/relationships/image" Target="../media/image6.emf"/><Relationship Id="rId46" Type="http://schemas.openxmlformats.org/officeDocument/2006/relationships/image" Target="../media/image10.emf"/><Relationship Id="rId59" Type="http://schemas.openxmlformats.org/officeDocument/2006/relationships/control" Target="../activeX/activeX45.xml"/><Relationship Id="rId67" Type="http://schemas.openxmlformats.org/officeDocument/2006/relationships/control" Target="../activeX/activeX53.xml"/><Relationship Id="rId20" Type="http://schemas.openxmlformats.org/officeDocument/2006/relationships/control" Target="../activeX/activeX14.xml"/><Relationship Id="rId41" Type="http://schemas.openxmlformats.org/officeDocument/2006/relationships/control" Target="../activeX/activeX31.xml"/><Relationship Id="rId54" Type="http://schemas.openxmlformats.org/officeDocument/2006/relationships/control" Target="../activeX/activeX40.xml"/><Relationship Id="rId62" Type="http://schemas.openxmlformats.org/officeDocument/2006/relationships/control" Target="../activeX/activeX48.xml"/><Relationship Id="rId70" Type="http://schemas.openxmlformats.org/officeDocument/2006/relationships/control" Target="../activeX/activeX56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7.xml"/><Relationship Id="rId28" Type="http://schemas.openxmlformats.org/officeDocument/2006/relationships/control" Target="../activeX/activeX22.xml"/><Relationship Id="rId36" Type="http://schemas.openxmlformats.org/officeDocument/2006/relationships/image" Target="../media/image5.emf"/><Relationship Id="rId49" Type="http://schemas.openxmlformats.org/officeDocument/2006/relationships/control" Target="../activeX/activeX36.xml"/><Relationship Id="rId57" Type="http://schemas.openxmlformats.org/officeDocument/2006/relationships/control" Target="../activeX/activeX43.xml"/><Relationship Id="rId10" Type="http://schemas.openxmlformats.org/officeDocument/2006/relationships/control" Target="../activeX/activeX4.xml"/><Relationship Id="rId31" Type="http://schemas.openxmlformats.org/officeDocument/2006/relationships/control" Target="../activeX/activeX25.xml"/><Relationship Id="rId44" Type="http://schemas.openxmlformats.org/officeDocument/2006/relationships/image" Target="../media/image9.emf"/><Relationship Id="rId52" Type="http://schemas.openxmlformats.org/officeDocument/2006/relationships/control" Target="../activeX/activeX38.xml"/><Relationship Id="rId60" Type="http://schemas.openxmlformats.org/officeDocument/2006/relationships/control" Target="../activeX/activeX46.xml"/><Relationship Id="rId65" Type="http://schemas.openxmlformats.org/officeDocument/2006/relationships/control" Target="../activeX/activeX51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3" Type="http://schemas.openxmlformats.org/officeDocument/2006/relationships/control" Target="../activeX/activeX7.xml"/><Relationship Id="rId18" Type="http://schemas.openxmlformats.org/officeDocument/2006/relationships/control" Target="../activeX/activeX12.xml"/><Relationship Id="rId39" Type="http://schemas.openxmlformats.org/officeDocument/2006/relationships/control" Target="../activeX/activeX30.xml"/><Relationship Id="rId34" Type="http://schemas.openxmlformats.org/officeDocument/2006/relationships/image" Target="../media/image4.emf"/><Relationship Id="rId50" Type="http://schemas.openxmlformats.org/officeDocument/2006/relationships/image" Target="../media/image11.emf"/><Relationship Id="rId55" Type="http://schemas.openxmlformats.org/officeDocument/2006/relationships/control" Target="../activeX/activeX4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0.59999389629810485"/>
  </sheetPr>
  <dimension ref="A1:G31"/>
  <sheetViews>
    <sheetView zoomScale="175" zoomScaleNormal="175" workbookViewId="0">
      <selection activeCell="C3" sqref="C3:C31"/>
    </sheetView>
  </sheetViews>
  <sheetFormatPr defaultRowHeight="15" x14ac:dyDescent="0.25"/>
  <cols>
    <col min="1" max="1" width="12.140625" customWidth="1"/>
    <col min="2" max="2" width="41.7109375" customWidth="1"/>
    <col min="3" max="3" width="11.7109375" customWidth="1"/>
    <col min="4" max="4" width="10.85546875" customWidth="1"/>
    <col min="7" max="7" width="9.7109375" customWidth="1"/>
  </cols>
  <sheetData>
    <row r="1" spans="1:7" ht="33.75" x14ac:dyDescent="0.5">
      <c r="A1" s="86" t="s">
        <v>0</v>
      </c>
      <c r="B1" s="87"/>
      <c r="C1" s="87"/>
      <c r="D1" s="87"/>
      <c r="E1" s="87"/>
      <c r="F1" s="87"/>
      <c r="G1" s="87"/>
    </row>
    <row r="2" spans="1:7" ht="30" x14ac:dyDescent="0.25">
      <c r="A2" s="69" t="s">
        <v>1</v>
      </c>
      <c r="B2" s="69" t="s">
        <v>2</v>
      </c>
      <c r="C2" s="69" t="s">
        <v>3</v>
      </c>
      <c r="D2" s="69" t="s">
        <v>5</v>
      </c>
      <c r="E2" s="69" t="s">
        <v>6</v>
      </c>
      <c r="F2" s="69" t="s">
        <v>8</v>
      </c>
      <c r="G2" s="69" t="s">
        <v>7</v>
      </c>
    </row>
    <row r="3" spans="1:7" ht="15.75" x14ac:dyDescent="0.25">
      <c r="A3" s="70" t="s">
        <v>233</v>
      </c>
      <c r="B3" s="68" t="s">
        <v>204</v>
      </c>
      <c r="C3" s="40">
        <v>9</v>
      </c>
      <c r="D3" s="85">
        <f>COUNTA(B3:B31)</f>
        <v>29</v>
      </c>
      <c r="E3" s="40">
        <v>1</v>
      </c>
      <c r="F3" s="40"/>
      <c r="G3" s="84"/>
    </row>
    <row r="4" spans="1:7" ht="15.75" x14ac:dyDescent="0.25">
      <c r="A4" s="70" t="s">
        <v>234</v>
      </c>
      <c r="B4" s="68" t="s">
        <v>205</v>
      </c>
      <c r="C4" s="40">
        <v>9</v>
      </c>
      <c r="D4" s="85"/>
      <c r="E4" s="40">
        <v>1</v>
      </c>
      <c r="F4" s="40"/>
      <c r="G4" s="84"/>
    </row>
    <row r="5" spans="1:7" ht="15.75" x14ac:dyDescent="0.25">
      <c r="A5" s="70" t="s">
        <v>235</v>
      </c>
      <c r="B5" s="68" t="s">
        <v>206</v>
      </c>
      <c r="C5" s="40">
        <v>9</v>
      </c>
      <c r="D5" s="85"/>
      <c r="E5" s="40">
        <v>1</v>
      </c>
      <c r="F5" s="40"/>
      <c r="G5" s="84"/>
    </row>
    <row r="6" spans="1:7" ht="15.75" x14ac:dyDescent="0.25">
      <c r="A6" s="70" t="s">
        <v>236</v>
      </c>
      <c r="B6" s="68" t="s">
        <v>207</v>
      </c>
      <c r="C6" s="40">
        <v>9</v>
      </c>
      <c r="D6" s="85"/>
      <c r="E6" s="40">
        <v>1</v>
      </c>
      <c r="F6" s="40"/>
      <c r="G6" s="84"/>
    </row>
    <row r="7" spans="1:7" ht="15.75" x14ac:dyDescent="0.25">
      <c r="A7" s="70" t="s">
        <v>237</v>
      </c>
      <c r="B7" s="68" t="s">
        <v>208</v>
      </c>
      <c r="C7" s="40">
        <v>9</v>
      </c>
      <c r="D7" s="85"/>
      <c r="E7" s="40">
        <v>1</v>
      </c>
      <c r="F7" s="40"/>
      <c r="G7" s="84"/>
    </row>
    <row r="8" spans="1:7" ht="15.75" x14ac:dyDescent="0.25">
      <c r="A8" s="70" t="s">
        <v>238</v>
      </c>
      <c r="B8" s="68" t="s">
        <v>209</v>
      </c>
      <c r="C8" s="40">
        <v>9</v>
      </c>
      <c r="D8" s="85"/>
      <c r="E8" s="40">
        <v>1</v>
      </c>
      <c r="F8" s="40"/>
      <c r="G8" s="84"/>
    </row>
    <row r="9" spans="1:7" ht="15.75" x14ac:dyDescent="0.25">
      <c r="A9" s="70" t="s">
        <v>239</v>
      </c>
      <c r="B9" s="68" t="s">
        <v>210</v>
      </c>
      <c r="C9" s="40">
        <v>9</v>
      </c>
      <c r="D9" s="85"/>
      <c r="E9" s="40">
        <v>1</v>
      </c>
      <c r="F9" s="40"/>
      <c r="G9" s="84"/>
    </row>
    <row r="10" spans="1:7" ht="15.75" x14ac:dyDescent="0.25">
      <c r="A10" s="70" t="s">
        <v>240</v>
      </c>
      <c r="B10" s="68" t="s">
        <v>211</v>
      </c>
      <c r="C10" s="40">
        <v>9</v>
      </c>
      <c r="D10" s="85"/>
      <c r="E10" s="40">
        <v>1</v>
      </c>
      <c r="F10" s="40"/>
      <c r="G10" s="84"/>
    </row>
    <row r="11" spans="1:7" ht="15.75" x14ac:dyDescent="0.25">
      <c r="A11" s="70" t="s">
        <v>241</v>
      </c>
      <c r="B11" s="68" t="s">
        <v>212</v>
      </c>
      <c r="C11" s="40">
        <v>9</v>
      </c>
      <c r="D11" s="85"/>
      <c r="E11" s="40">
        <v>1</v>
      </c>
      <c r="F11" s="40"/>
      <c r="G11" s="84"/>
    </row>
    <row r="12" spans="1:7" ht="15.75" x14ac:dyDescent="0.25">
      <c r="A12" s="70" t="s">
        <v>242</v>
      </c>
      <c r="B12" s="68" t="s">
        <v>213</v>
      </c>
      <c r="C12" s="40">
        <v>9</v>
      </c>
      <c r="D12" s="85"/>
      <c r="E12" s="40">
        <v>1</v>
      </c>
      <c r="F12" s="40"/>
      <c r="G12" s="84"/>
    </row>
    <row r="13" spans="1:7" ht="15.75" x14ac:dyDescent="0.25">
      <c r="A13" s="70" t="s">
        <v>243</v>
      </c>
      <c r="B13" s="68" t="s">
        <v>214</v>
      </c>
      <c r="C13" s="40">
        <v>9</v>
      </c>
      <c r="D13" s="85"/>
      <c r="E13" s="40">
        <v>1</v>
      </c>
      <c r="F13" s="40"/>
      <c r="G13" s="84"/>
    </row>
    <row r="14" spans="1:7" ht="15.75" x14ac:dyDescent="0.25">
      <c r="A14" s="70" t="s">
        <v>244</v>
      </c>
      <c r="B14" s="68" t="s">
        <v>215</v>
      </c>
      <c r="C14" s="40">
        <v>9</v>
      </c>
      <c r="D14" s="85"/>
      <c r="E14" s="40">
        <v>1</v>
      </c>
      <c r="F14" s="40"/>
      <c r="G14" s="84"/>
    </row>
    <row r="15" spans="1:7" ht="15.75" x14ac:dyDescent="0.25">
      <c r="A15" s="70" t="s">
        <v>245</v>
      </c>
      <c r="B15" s="68" t="s">
        <v>216</v>
      </c>
      <c r="C15" s="40">
        <v>9</v>
      </c>
      <c r="D15" s="85"/>
      <c r="E15" s="40">
        <v>1</v>
      </c>
      <c r="F15" s="40"/>
      <c r="G15" s="84"/>
    </row>
    <row r="16" spans="1:7" ht="15.75" x14ac:dyDescent="0.25">
      <c r="A16" s="70" t="s">
        <v>246</v>
      </c>
      <c r="B16" s="68" t="s">
        <v>217</v>
      </c>
      <c r="C16" s="40">
        <v>9</v>
      </c>
      <c r="D16" s="85"/>
      <c r="E16" s="40">
        <v>1</v>
      </c>
      <c r="F16" s="40"/>
      <c r="G16" s="84"/>
    </row>
    <row r="17" spans="1:7" ht="15.75" x14ac:dyDescent="0.25">
      <c r="A17" s="70" t="s">
        <v>247</v>
      </c>
      <c r="B17" s="68" t="s">
        <v>218</v>
      </c>
      <c r="C17" s="40">
        <v>9</v>
      </c>
      <c r="D17" s="85"/>
      <c r="E17" s="40">
        <v>1</v>
      </c>
      <c r="F17" s="40"/>
      <c r="G17" s="84"/>
    </row>
    <row r="18" spans="1:7" ht="15.75" x14ac:dyDescent="0.25">
      <c r="A18" s="70" t="s">
        <v>248</v>
      </c>
      <c r="B18" s="68" t="s">
        <v>219</v>
      </c>
      <c r="C18" s="40">
        <v>9</v>
      </c>
      <c r="D18" s="85"/>
      <c r="E18" s="40">
        <v>1</v>
      </c>
      <c r="F18" s="40"/>
      <c r="G18" s="84"/>
    </row>
    <row r="19" spans="1:7" ht="15.75" x14ac:dyDescent="0.25">
      <c r="A19" s="70" t="s">
        <v>249</v>
      </c>
      <c r="B19" s="68" t="s">
        <v>220</v>
      </c>
      <c r="C19" s="40">
        <v>9</v>
      </c>
      <c r="D19" s="85"/>
      <c r="E19" s="40">
        <v>1</v>
      </c>
      <c r="F19" s="40"/>
      <c r="G19" s="84"/>
    </row>
    <row r="20" spans="1:7" ht="15.75" x14ac:dyDescent="0.25">
      <c r="A20" s="70" t="s">
        <v>250</v>
      </c>
      <c r="B20" s="68" t="s">
        <v>221</v>
      </c>
      <c r="C20" s="40">
        <v>9</v>
      </c>
      <c r="D20" s="85"/>
      <c r="E20" s="40">
        <v>1</v>
      </c>
      <c r="F20" s="40"/>
      <c r="G20" s="84"/>
    </row>
    <row r="21" spans="1:7" ht="15.75" x14ac:dyDescent="0.25">
      <c r="A21" s="70" t="s">
        <v>251</v>
      </c>
      <c r="B21" s="68" t="s">
        <v>222</v>
      </c>
      <c r="C21" s="40">
        <v>9</v>
      </c>
      <c r="D21" s="85"/>
      <c r="E21" s="40">
        <v>1</v>
      </c>
      <c r="F21" s="40"/>
      <c r="G21" s="84"/>
    </row>
    <row r="22" spans="1:7" ht="15.75" x14ac:dyDescent="0.25">
      <c r="A22" s="70" t="s">
        <v>252</v>
      </c>
      <c r="B22" s="68" t="s">
        <v>223</v>
      </c>
      <c r="C22" s="40">
        <v>9</v>
      </c>
      <c r="D22" s="85"/>
      <c r="E22" s="40">
        <v>1</v>
      </c>
      <c r="F22" s="40"/>
      <c r="G22" s="84"/>
    </row>
    <row r="23" spans="1:7" ht="15.75" x14ac:dyDescent="0.25">
      <c r="A23" s="70" t="s">
        <v>253</v>
      </c>
      <c r="B23" s="68" t="s">
        <v>224</v>
      </c>
      <c r="C23" s="40">
        <v>9</v>
      </c>
      <c r="D23" s="85"/>
      <c r="E23" s="40">
        <v>1</v>
      </c>
      <c r="F23" s="40"/>
      <c r="G23" s="84"/>
    </row>
    <row r="24" spans="1:7" ht="15.75" x14ac:dyDescent="0.25">
      <c r="A24" s="70" t="s">
        <v>254</v>
      </c>
      <c r="B24" s="68" t="s">
        <v>225</v>
      </c>
      <c r="C24" s="40">
        <v>9</v>
      </c>
      <c r="D24" s="85"/>
      <c r="E24" s="40">
        <v>1</v>
      </c>
      <c r="F24" s="40"/>
      <c r="G24" s="84"/>
    </row>
    <row r="25" spans="1:7" ht="15.75" x14ac:dyDescent="0.25">
      <c r="A25" s="70" t="s">
        <v>255</v>
      </c>
      <c r="B25" s="68" t="s">
        <v>226</v>
      </c>
      <c r="C25" s="40">
        <v>9</v>
      </c>
      <c r="D25" s="85"/>
      <c r="E25" s="40">
        <v>1</v>
      </c>
      <c r="F25" s="40"/>
      <c r="G25" s="84"/>
    </row>
    <row r="26" spans="1:7" ht="15.75" x14ac:dyDescent="0.25">
      <c r="A26" s="70" t="s">
        <v>256</v>
      </c>
      <c r="B26" s="68" t="s">
        <v>227</v>
      </c>
      <c r="C26" s="40">
        <v>9</v>
      </c>
      <c r="D26" s="85"/>
      <c r="E26" s="40">
        <v>1</v>
      </c>
      <c r="F26" s="40"/>
      <c r="G26" s="84"/>
    </row>
    <row r="27" spans="1:7" ht="15.75" x14ac:dyDescent="0.25">
      <c r="A27" s="70" t="s">
        <v>257</v>
      </c>
      <c r="B27" s="68" t="s">
        <v>228</v>
      </c>
      <c r="C27" s="40">
        <v>9</v>
      </c>
      <c r="D27" s="85"/>
      <c r="E27" s="40">
        <v>1</v>
      </c>
      <c r="F27" s="40"/>
      <c r="G27" s="84"/>
    </row>
    <row r="28" spans="1:7" ht="15.75" x14ac:dyDescent="0.25">
      <c r="A28" s="70" t="s">
        <v>258</v>
      </c>
      <c r="B28" s="68" t="s">
        <v>229</v>
      </c>
      <c r="C28" s="40">
        <v>9</v>
      </c>
      <c r="D28" s="85"/>
      <c r="E28" s="40">
        <v>1</v>
      </c>
      <c r="F28" s="40"/>
      <c r="G28" s="84"/>
    </row>
    <row r="29" spans="1:7" ht="15.75" x14ac:dyDescent="0.25">
      <c r="A29" s="70" t="s">
        <v>259</v>
      </c>
      <c r="B29" s="68" t="s">
        <v>230</v>
      </c>
      <c r="C29" s="40">
        <v>9</v>
      </c>
      <c r="D29" s="85"/>
      <c r="E29" s="40">
        <v>1</v>
      </c>
      <c r="F29" s="40"/>
      <c r="G29" s="84"/>
    </row>
    <row r="30" spans="1:7" ht="15.75" x14ac:dyDescent="0.25">
      <c r="A30" s="70" t="s">
        <v>260</v>
      </c>
      <c r="B30" s="68" t="s">
        <v>231</v>
      </c>
      <c r="C30" s="40">
        <v>9</v>
      </c>
      <c r="D30" s="85"/>
      <c r="E30" s="40">
        <v>1</v>
      </c>
      <c r="F30" s="40"/>
      <c r="G30" s="84"/>
    </row>
    <row r="31" spans="1:7" ht="15.75" x14ac:dyDescent="0.25">
      <c r="A31" s="70" t="s">
        <v>261</v>
      </c>
      <c r="B31" s="68" t="s">
        <v>232</v>
      </c>
      <c r="C31" s="40">
        <v>9</v>
      </c>
      <c r="D31" s="85"/>
      <c r="E31" s="40">
        <v>1</v>
      </c>
      <c r="F31" s="40"/>
      <c r="G31" s="84"/>
    </row>
  </sheetData>
  <sortState xmlns:xlrd2="http://schemas.microsoft.com/office/spreadsheetml/2017/richdata2" ref="B3:B31">
    <sortCondition ref="B3:B31"/>
  </sortState>
  <mergeCells count="3">
    <mergeCell ref="G3:G31"/>
    <mergeCell ref="D3:D31"/>
    <mergeCell ref="A1:G1"/>
  </mergeCells>
  <phoneticPr fontId="2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7030A0"/>
  </sheetPr>
  <dimension ref="A1:K32"/>
  <sheetViews>
    <sheetView zoomScale="90" zoomScaleNormal="90" workbookViewId="0">
      <selection activeCell="F5" sqref="F5"/>
    </sheetView>
  </sheetViews>
  <sheetFormatPr defaultRowHeight="15" x14ac:dyDescent="0.25"/>
  <cols>
    <col min="1" max="1" width="12.7109375" customWidth="1"/>
    <col min="2" max="2" width="46.140625" customWidth="1"/>
    <col min="3" max="3" width="10.140625" customWidth="1"/>
    <col min="5" max="6" width="12.7109375" customWidth="1"/>
    <col min="7" max="7" width="13.140625" customWidth="1"/>
    <col min="8" max="8" width="14.28515625" customWidth="1"/>
    <col min="9" max="9" width="10.5703125" customWidth="1"/>
    <col min="11" max="11" width="29.85546875" customWidth="1"/>
  </cols>
  <sheetData>
    <row r="1" spans="1:11" ht="33.75" x14ac:dyDescent="0.25">
      <c r="A1" s="90" t="s">
        <v>13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45" customHeight="1" x14ac:dyDescent="0.25">
      <c r="A2" s="91" t="s">
        <v>9</v>
      </c>
      <c r="B2" s="88" t="s">
        <v>2</v>
      </c>
      <c r="C2" s="88" t="s">
        <v>3</v>
      </c>
      <c r="D2" s="9" t="s">
        <v>10</v>
      </c>
      <c r="E2" s="45" t="s">
        <v>11</v>
      </c>
      <c r="F2" s="9" t="s">
        <v>57</v>
      </c>
      <c r="G2" s="45" t="s">
        <v>12</v>
      </c>
      <c r="H2" s="5" t="s">
        <v>14</v>
      </c>
      <c r="I2" s="88" t="s">
        <v>15</v>
      </c>
      <c r="J2" s="89" t="s">
        <v>16</v>
      </c>
      <c r="K2" s="88" t="s">
        <v>17</v>
      </c>
    </row>
    <row r="3" spans="1:11" ht="18.75" customHeight="1" x14ac:dyDescent="0.25">
      <c r="A3" s="92"/>
      <c r="B3" s="88"/>
      <c r="C3" s="88"/>
      <c r="D3" s="54">
        <v>1</v>
      </c>
      <c r="E3" s="54" t="s">
        <v>18</v>
      </c>
      <c r="F3" s="54">
        <v>1</v>
      </c>
      <c r="G3" s="54" t="s">
        <v>136</v>
      </c>
      <c r="H3" s="62" t="s">
        <v>137</v>
      </c>
      <c r="I3" s="88"/>
      <c r="J3" s="89"/>
      <c r="K3" s="88"/>
    </row>
    <row r="4" spans="1:11" ht="18.75" x14ac:dyDescent="0.25">
      <c r="A4" s="47" t="str">
        <f>'Info List'!A3</f>
        <v>BHS9001</v>
      </c>
      <c r="B4" s="48" t="str">
        <f>'Info List'!B3</f>
        <v>ABRAKWAH EVA OWUSUAA</v>
      </c>
      <c r="C4" s="49">
        <f>'Info List'!C3</f>
        <v>9</v>
      </c>
      <c r="D4" s="50">
        <v>89</v>
      </c>
      <c r="E4" s="32">
        <f t="shared" ref="E4:E23" si="0">0.5*D4</f>
        <v>44.5</v>
      </c>
      <c r="F4" s="50">
        <v>96</v>
      </c>
      <c r="G4" s="32">
        <f>0.5*F4</f>
        <v>48</v>
      </c>
      <c r="H4" s="51">
        <f>E4+G4</f>
        <v>92.5</v>
      </c>
      <c r="I4" s="44">
        <f t="shared" ref="I4:I32" si="1">RANK(H4,$H$4:$H$32)</f>
        <v>1</v>
      </c>
      <c r="J4" s="44">
        <f>IF(H4&gt;79.5, 1, IF(H4&gt;69.5, 2, IF(H4&gt;59.5, 3, IF(H4&gt;54.5, 4, IF(H4&gt;49.5, 5, IF(H4&gt;44.5, 6, IF(H4&gt;39.5, 7, IF(H4&gt;33.5, 8, IF(H4&gt;-1, 9)))))))))</f>
        <v>1</v>
      </c>
      <c r="K4" s="44" t="str">
        <f>VLOOKUP(H4,'GRADING SYSTEM'!$D$15:$F$23,3)</f>
        <v>EXCELLENT</v>
      </c>
    </row>
    <row r="5" spans="1:11" ht="18.75" x14ac:dyDescent="0.25">
      <c r="A5" s="47" t="str">
        <f>'Info List'!A4</f>
        <v>BHS9002</v>
      </c>
      <c r="B5" s="48" t="str">
        <f>'Info List'!B4</f>
        <v>ADZILAFU EDWARD</v>
      </c>
      <c r="C5" s="49">
        <f>'Info List'!C4</f>
        <v>9</v>
      </c>
      <c r="D5" s="50">
        <v>70</v>
      </c>
      <c r="E5" s="32">
        <f t="shared" si="0"/>
        <v>35</v>
      </c>
      <c r="F5" s="50"/>
      <c r="G5" s="32">
        <f t="shared" ref="G5:G23" si="2">0.5*F5</f>
        <v>0</v>
      </c>
      <c r="H5" s="51">
        <f t="shared" ref="H5:H32" si="3">E5+G5</f>
        <v>35</v>
      </c>
      <c r="I5" s="44">
        <f t="shared" si="1"/>
        <v>29</v>
      </c>
      <c r="J5" s="44">
        <f t="shared" ref="J5:J23" si="4">IF(H5&gt;79.5, 1, IF(H5&gt;69.5, 2, IF(H5&gt;59.5, 3, IF(H5&gt;54.5, 4, IF(H5&gt;49.5, 5, IF(H5&gt;44.5, 6, IF(H5&gt;39.5, 7, IF(H5&gt;33.5, 8, IF(H5&gt;-1, 9)))))))))</f>
        <v>8</v>
      </c>
      <c r="K5" s="44" t="str">
        <f>VLOOKUP(H5,'GRADING SYSTEM'!$D$15:$F$23,3)</f>
        <v>WEAK PASS</v>
      </c>
    </row>
    <row r="6" spans="1:11" ht="18.75" x14ac:dyDescent="0.25">
      <c r="A6" s="47" t="str">
        <f>'Info List'!A5</f>
        <v>BHS9003</v>
      </c>
      <c r="B6" s="48" t="str">
        <f>'Info List'!B5</f>
        <v>AGYEPONG DASEBRE</v>
      </c>
      <c r="C6" s="49">
        <f>'Info List'!C5</f>
        <v>9</v>
      </c>
      <c r="D6" s="50">
        <v>71</v>
      </c>
      <c r="E6" s="32">
        <f t="shared" si="0"/>
        <v>35.5</v>
      </c>
      <c r="F6" s="50"/>
      <c r="G6" s="32">
        <v>0</v>
      </c>
      <c r="H6" s="51">
        <f t="shared" si="3"/>
        <v>35.5</v>
      </c>
      <c r="I6" s="44">
        <f t="shared" si="1"/>
        <v>28</v>
      </c>
      <c r="J6" s="44">
        <f t="shared" si="4"/>
        <v>8</v>
      </c>
      <c r="K6" s="44" t="str">
        <f>VLOOKUP(H6,'GRADING SYSTEM'!$D$15:$F$23,3)</f>
        <v>WEAK PASS</v>
      </c>
    </row>
    <row r="7" spans="1:11" ht="18.75" x14ac:dyDescent="0.25">
      <c r="A7" s="47" t="str">
        <f>'Info List'!A6</f>
        <v>BHS9004</v>
      </c>
      <c r="B7" s="48" t="str">
        <f>'Info List'!B6</f>
        <v>ANIWA JOANA SEYRAM</v>
      </c>
      <c r="C7" s="49">
        <f>'Info List'!C6</f>
        <v>9</v>
      </c>
      <c r="D7" s="50">
        <v>72</v>
      </c>
      <c r="E7" s="32">
        <f t="shared" si="0"/>
        <v>36</v>
      </c>
      <c r="F7" s="50"/>
      <c r="G7" s="32">
        <f t="shared" si="2"/>
        <v>0</v>
      </c>
      <c r="H7" s="51">
        <f t="shared" si="3"/>
        <v>36</v>
      </c>
      <c r="I7" s="44">
        <f t="shared" si="1"/>
        <v>27</v>
      </c>
      <c r="J7" s="44">
        <f t="shared" si="4"/>
        <v>8</v>
      </c>
      <c r="K7" s="44" t="str">
        <f>VLOOKUP(H7,'GRADING SYSTEM'!$D$15:$F$23,3)</f>
        <v>WEAK PASS</v>
      </c>
    </row>
    <row r="8" spans="1:11" ht="18.75" x14ac:dyDescent="0.25">
      <c r="A8" s="47" t="str">
        <f>'Info List'!A7</f>
        <v>BHS9005</v>
      </c>
      <c r="B8" s="48" t="str">
        <f>'Info List'!B7</f>
        <v>ANNAN AGNES</v>
      </c>
      <c r="C8" s="49">
        <f>'Info List'!C7</f>
        <v>9</v>
      </c>
      <c r="D8" s="50">
        <v>73</v>
      </c>
      <c r="E8" s="32">
        <f t="shared" si="0"/>
        <v>36.5</v>
      </c>
      <c r="F8" s="50"/>
      <c r="G8" s="32">
        <f t="shared" si="2"/>
        <v>0</v>
      </c>
      <c r="H8" s="51">
        <f t="shared" si="3"/>
        <v>36.5</v>
      </c>
      <c r="I8" s="44">
        <f t="shared" si="1"/>
        <v>26</v>
      </c>
      <c r="J8" s="44">
        <f t="shared" si="4"/>
        <v>8</v>
      </c>
      <c r="K8" s="44" t="str">
        <f>VLOOKUP(H8,'GRADING SYSTEM'!$D$15:$F$23,3)</f>
        <v>WEAK PASS</v>
      </c>
    </row>
    <row r="9" spans="1:11" ht="18.75" x14ac:dyDescent="0.25">
      <c r="A9" s="47" t="str">
        <f>'Info List'!A8</f>
        <v>BHS9006</v>
      </c>
      <c r="B9" s="48" t="str">
        <f>'Info List'!B8</f>
        <v>ARTHUR LILLIAN ABENA</v>
      </c>
      <c r="C9" s="49">
        <f>'Info List'!C8</f>
        <v>9</v>
      </c>
      <c r="D9" s="50">
        <v>74</v>
      </c>
      <c r="E9" s="32">
        <f t="shared" si="0"/>
        <v>37</v>
      </c>
      <c r="F9" s="50"/>
      <c r="G9" s="32">
        <f t="shared" si="2"/>
        <v>0</v>
      </c>
      <c r="H9" s="51">
        <f t="shared" si="3"/>
        <v>37</v>
      </c>
      <c r="I9" s="44">
        <f t="shared" si="1"/>
        <v>25</v>
      </c>
      <c r="J9" s="44">
        <f t="shared" si="4"/>
        <v>8</v>
      </c>
      <c r="K9" s="44" t="str">
        <f>VLOOKUP(H9,'GRADING SYSTEM'!$D$15:$F$23,3)</f>
        <v>WEAK PASS</v>
      </c>
    </row>
    <row r="10" spans="1:11" ht="18.75" x14ac:dyDescent="0.25">
      <c r="A10" s="47" t="str">
        <f>'Info List'!A9</f>
        <v>BHS9007</v>
      </c>
      <c r="B10" s="48" t="str">
        <f>'Info List'!B9</f>
        <v>ASARE JACOB</v>
      </c>
      <c r="C10" s="49">
        <f>'Info List'!C9</f>
        <v>9</v>
      </c>
      <c r="D10" s="50">
        <v>75</v>
      </c>
      <c r="E10" s="32">
        <f t="shared" si="0"/>
        <v>37.5</v>
      </c>
      <c r="F10" s="50"/>
      <c r="G10" s="32">
        <f t="shared" si="2"/>
        <v>0</v>
      </c>
      <c r="H10" s="51">
        <f t="shared" si="3"/>
        <v>37.5</v>
      </c>
      <c r="I10" s="44">
        <f t="shared" si="1"/>
        <v>24</v>
      </c>
      <c r="J10" s="44">
        <f t="shared" si="4"/>
        <v>8</v>
      </c>
      <c r="K10" s="44" t="str">
        <f>VLOOKUP(H10,'GRADING SYSTEM'!$D$15:$F$23,3)</f>
        <v>WEAK PASS</v>
      </c>
    </row>
    <row r="11" spans="1:11" ht="18.75" x14ac:dyDescent="0.25">
      <c r="A11" s="47" t="str">
        <f>'Info List'!A10</f>
        <v>BHS9008</v>
      </c>
      <c r="B11" s="48" t="str">
        <f>'Info List'!B10</f>
        <v>BAAH JOSEPHINE KONADU</v>
      </c>
      <c r="C11" s="49">
        <f>'Info List'!C10</f>
        <v>9</v>
      </c>
      <c r="D11" s="50">
        <v>76</v>
      </c>
      <c r="E11" s="32">
        <f t="shared" si="0"/>
        <v>38</v>
      </c>
      <c r="F11" s="50"/>
      <c r="G11" s="32">
        <f t="shared" si="2"/>
        <v>0</v>
      </c>
      <c r="H11" s="51">
        <f t="shared" si="3"/>
        <v>38</v>
      </c>
      <c r="I11" s="44">
        <f t="shared" si="1"/>
        <v>23</v>
      </c>
      <c r="J11" s="44">
        <f t="shared" si="4"/>
        <v>8</v>
      </c>
      <c r="K11" s="44" t="str">
        <f>VLOOKUP(H11,'GRADING SYSTEM'!$D$15:$F$23,3)</f>
        <v>WEAK PASS</v>
      </c>
    </row>
    <row r="12" spans="1:11" ht="18.75" x14ac:dyDescent="0.25">
      <c r="A12" s="47" t="str">
        <f>'Info List'!A11</f>
        <v>BHS9009</v>
      </c>
      <c r="B12" s="48" t="str">
        <f>'Info List'!B11</f>
        <v>BAIDOO MIDRED</v>
      </c>
      <c r="C12" s="49">
        <f>'Info List'!C11</f>
        <v>9</v>
      </c>
      <c r="D12" s="50">
        <v>77</v>
      </c>
      <c r="E12" s="32">
        <f t="shared" si="0"/>
        <v>38.5</v>
      </c>
      <c r="F12" s="50"/>
      <c r="G12" s="32">
        <f t="shared" si="2"/>
        <v>0</v>
      </c>
      <c r="H12" s="51">
        <f t="shared" si="3"/>
        <v>38.5</v>
      </c>
      <c r="I12" s="44">
        <f t="shared" si="1"/>
        <v>22</v>
      </c>
      <c r="J12" s="44">
        <f t="shared" si="4"/>
        <v>8</v>
      </c>
      <c r="K12" s="44" t="str">
        <f>VLOOKUP(H12,'GRADING SYSTEM'!$D$15:$F$23,3)</f>
        <v>WEAK PASS</v>
      </c>
    </row>
    <row r="13" spans="1:11" ht="18.75" x14ac:dyDescent="0.25">
      <c r="A13" s="47" t="str">
        <f>'Info List'!A12</f>
        <v>BHS9010</v>
      </c>
      <c r="B13" s="48" t="str">
        <f>'Info List'!B12</f>
        <v>BOAKYE KELVIN OWUSU</v>
      </c>
      <c r="C13" s="49">
        <f>'Info List'!C12</f>
        <v>9</v>
      </c>
      <c r="D13" s="50">
        <v>78</v>
      </c>
      <c r="E13" s="32">
        <f t="shared" si="0"/>
        <v>39</v>
      </c>
      <c r="F13" s="50"/>
      <c r="G13" s="32">
        <f t="shared" si="2"/>
        <v>0</v>
      </c>
      <c r="H13" s="51">
        <f t="shared" si="3"/>
        <v>39</v>
      </c>
      <c r="I13" s="44">
        <f t="shared" si="1"/>
        <v>21</v>
      </c>
      <c r="J13" s="44">
        <f t="shared" si="4"/>
        <v>8</v>
      </c>
      <c r="K13" s="44" t="str">
        <f>VLOOKUP(H13,'GRADING SYSTEM'!$D$15:$F$23,3)</f>
        <v>WEAK PASS</v>
      </c>
    </row>
    <row r="14" spans="1:11" ht="18.75" x14ac:dyDescent="0.25">
      <c r="A14" s="47" t="str">
        <f>'Info List'!A13</f>
        <v>BHS9011</v>
      </c>
      <c r="B14" s="48" t="str">
        <f>'Info List'!B13</f>
        <v>BOATENG NICHOLAS KELVIN</v>
      </c>
      <c r="C14" s="49">
        <f>'Info List'!C13</f>
        <v>9</v>
      </c>
      <c r="D14" s="50">
        <v>79</v>
      </c>
      <c r="E14" s="32">
        <f t="shared" si="0"/>
        <v>39.5</v>
      </c>
      <c r="F14" s="50"/>
      <c r="G14" s="32">
        <f t="shared" si="2"/>
        <v>0</v>
      </c>
      <c r="H14" s="51">
        <f t="shared" si="3"/>
        <v>39.5</v>
      </c>
      <c r="I14" s="44">
        <f t="shared" si="1"/>
        <v>20</v>
      </c>
      <c r="J14" s="44">
        <f t="shared" si="4"/>
        <v>8</v>
      </c>
      <c r="K14" s="44" t="str">
        <f>VLOOKUP(H14,'GRADING SYSTEM'!$D$15:$F$23,3)</f>
        <v>WEAK PASS</v>
      </c>
    </row>
    <row r="15" spans="1:11" ht="18.75" x14ac:dyDescent="0.25">
      <c r="A15" s="47" t="str">
        <f>'Info List'!A14</f>
        <v>BHS9012</v>
      </c>
      <c r="B15" s="48" t="str">
        <f>'Info List'!B14</f>
        <v>CHARKITEY JOSEPH TETTEY EMEKOH</v>
      </c>
      <c r="C15" s="49">
        <f>'Info List'!C14</f>
        <v>9</v>
      </c>
      <c r="D15" s="50">
        <v>80</v>
      </c>
      <c r="E15" s="32">
        <f t="shared" si="0"/>
        <v>40</v>
      </c>
      <c r="F15" s="50"/>
      <c r="G15" s="32">
        <f t="shared" si="2"/>
        <v>0</v>
      </c>
      <c r="H15" s="51">
        <f t="shared" si="3"/>
        <v>40</v>
      </c>
      <c r="I15" s="44">
        <f t="shared" si="1"/>
        <v>19</v>
      </c>
      <c r="J15" s="44">
        <f t="shared" si="4"/>
        <v>7</v>
      </c>
      <c r="K15" s="44" t="str">
        <f>VLOOKUP(H15,'GRADING SYSTEM'!$D$15:$F$23,3)</f>
        <v>PASS</v>
      </c>
    </row>
    <row r="16" spans="1:11" ht="18.75" x14ac:dyDescent="0.25">
      <c r="A16" s="47" t="str">
        <f>'Info List'!A15</f>
        <v>BHS9013</v>
      </c>
      <c r="B16" s="48" t="str">
        <f>'Info List'!B15</f>
        <v>DANKWAH AMA JANEL</v>
      </c>
      <c r="C16" s="49">
        <f>'Info List'!C15</f>
        <v>9</v>
      </c>
      <c r="D16" s="50">
        <v>81</v>
      </c>
      <c r="E16" s="32">
        <f t="shared" si="0"/>
        <v>40.5</v>
      </c>
      <c r="F16" s="50"/>
      <c r="G16" s="32">
        <f t="shared" si="2"/>
        <v>0</v>
      </c>
      <c r="H16" s="51">
        <f t="shared" si="3"/>
        <v>40.5</v>
      </c>
      <c r="I16" s="44">
        <f t="shared" si="1"/>
        <v>18</v>
      </c>
      <c r="J16" s="44">
        <f t="shared" si="4"/>
        <v>7</v>
      </c>
      <c r="K16" s="44" t="str">
        <f>VLOOKUP(H16,'GRADING SYSTEM'!$D$15:$F$23,3)</f>
        <v>PASS</v>
      </c>
    </row>
    <row r="17" spans="1:11" ht="18.75" x14ac:dyDescent="0.25">
      <c r="A17" s="47" t="str">
        <f>'Info List'!A16</f>
        <v>BHS9014</v>
      </c>
      <c r="B17" s="48" t="str">
        <f>'Info List'!B16</f>
        <v>DANKWAH SHANTEL</v>
      </c>
      <c r="C17" s="49">
        <f>'Info List'!C16</f>
        <v>9</v>
      </c>
      <c r="D17" s="50">
        <v>82</v>
      </c>
      <c r="E17" s="32">
        <f t="shared" si="0"/>
        <v>41</v>
      </c>
      <c r="F17" s="50"/>
      <c r="G17" s="32">
        <f t="shared" si="2"/>
        <v>0</v>
      </c>
      <c r="H17" s="51">
        <f t="shared" si="3"/>
        <v>41</v>
      </c>
      <c r="I17" s="44">
        <f t="shared" si="1"/>
        <v>17</v>
      </c>
      <c r="J17" s="44">
        <f t="shared" si="4"/>
        <v>7</v>
      </c>
      <c r="K17" s="44" t="str">
        <f>VLOOKUP(H17,'GRADING SYSTEM'!$D$15:$F$23,3)</f>
        <v>PASS</v>
      </c>
    </row>
    <row r="18" spans="1:11" ht="18.75" x14ac:dyDescent="0.25">
      <c r="A18" s="47" t="str">
        <f>'Info List'!A17</f>
        <v>BHS9015</v>
      </c>
      <c r="B18" s="48" t="str">
        <f>'Info List'!B17</f>
        <v>ESSILFIE ENOCH</v>
      </c>
      <c r="C18" s="49">
        <f>'Info List'!C17</f>
        <v>9</v>
      </c>
      <c r="D18" s="50">
        <v>83</v>
      </c>
      <c r="E18" s="32">
        <f t="shared" si="0"/>
        <v>41.5</v>
      </c>
      <c r="F18" s="50"/>
      <c r="G18" s="32">
        <f t="shared" si="2"/>
        <v>0</v>
      </c>
      <c r="H18" s="51">
        <f t="shared" si="3"/>
        <v>41.5</v>
      </c>
      <c r="I18" s="44">
        <f t="shared" si="1"/>
        <v>16</v>
      </c>
      <c r="J18" s="44">
        <f t="shared" si="4"/>
        <v>7</v>
      </c>
      <c r="K18" s="44" t="str">
        <f>VLOOKUP(H18,'GRADING SYSTEM'!$D$15:$F$23,3)</f>
        <v>PASS</v>
      </c>
    </row>
    <row r="19" spans="1:11" ht="18.75" x14ac:dyDescent="0.25">
      <c r="A19" s="47" t="str">
        <f>'Info List'!A18</f>
        <v>BHS9016</v>
      </c>
      <c r="B19" s="48" t="str">
        <f>'Info List'!B18</f>
        <v>GANDAA LINDA</v>
      </c>
      <c r="C19" s="49">
        <f>'Info List'!C18</f>
        <v>9</v>
      </c>
      <c r="D19" s="50">
        <v>84</v>
      </c>
      <c r="E19" s="32">
        <f t="shared" si="0"/>
        <v>42</v>
      </c>
      <c r="F19" s="50"/>
      <c r="G19" s="32">
        <f t="shared" si="2"/>
        <v>0</v>
      </c>
      <c r="H19" s="51">
        <f t="shared" si="3"/>
        <v>42</v>
      </c>
      <c r="I19" s="44">
        <f t="shared" si="1"/>
        <v>15</v>
      </c>
      <c r="J19" s="44">
        <f t="shared" si="4"/>
        <v>7</v>
      </c>
      <c r="K19" s="44" t="str">
        <f>VLOOKUP(H19,'GRADING SYSTEM'!$D$15:$F$23,3)</f>
        <v>PASS</v>
      </c>
    </row>
    <row r="20" spans="1:11" ht="18.75" x14ac:dyDescent="0.25">
      <c r="A20" s="47" t="str">
        <f>'Info List'!A19</f>
        <v>BHS9017</v>
      </c>
      <c r="B20" s="48" t="str">
        <f>'Info List'!B19</f>
        <v>GEORGINA DUSHIE QUEENSTAR</v>
      </c>
      <c r="C20" s="49">
        <f>'Info List'!C19</f>
        <v>9</v>
      </c>
      <c r="D20" s="50">
        <v>85</v>
      </c>
      <c r="E20" s="32">
        <f t="shared" si="0"/>
        <v>42.5</v>
      </c>
      <c r="F20" s="50"/>
      <c r="G20" s="32">
        <f t="shared" si="2"/>
        <v>0</v>
      </c>
      <c r="H20" s="51">
        <f t="shared" si="3"/>
        <v>42.5</v>
      </c>
      <c r="I20" s="44">
        <f t="shared" si="1"/>
        <v>14</v>
      </c>
      <c r="J20" s="44">
        <f t="shared" si="4"/>
        <v>7</v>
      </c>
      <c r="K20" s="44" t="str">
        <f>VLOOKUP(H20,'GRADING SYSTEM'!$D$15:$F$23,3)</f>
        <v>PASS</v>
      </c>
    </row>
    <row r="21" spans="1:11" ht="18.75" x14ac:dyDescent="0.25">
      <c r="A21" s="47" t="str">
        <f>'Info List'!A20</f>
        <v>BHS9018</v>
      </c>
      <c r="B21" s="48" t="str">
        <f>'Info List'!B20</f>
        <v>GYAKYE AMPONSAH EKUA</v>
      </c>
      <c r="C21" s="49">
        <f>'Info List'!C20</f>
        <v>9</v>
      </c>
      <c r="D21" s="50">
        <v>86</v>
      </c>
      <c r="E21" s="32">
        <f t="shared" si="0"/>
        <v>43</v>
      </c>
      <c r="F21" s="50"/>
      <c r="G21" s="32">
        <f t="shared" si="2"/>
        <v>0</v>
      </c>
      <c r="H21" s="51">
        <f t="shared" si="3"/>
        <v>43</v>
      </c>
      <c r="I21" s="44">
        <f t="shared" si="1"/>
        <v>13</v>
      </c>
      <c r="J21" s="44">
        <f t="shared" si="4"/>
        <v>7</v>
      </c>
      <c r="K21" s="44" t="str">
        <f>VLOOKUP(H21,'GRADING SYSTEM'!$D$15:$F$23,3)</f>
        <v>PASS</v>
      </c>
    </row>
    <row r="22" spans="1:11" ht="18.75" x14ac:dyDescent="0.25">
      <c r="A22" s="47" t="str">
        <f>'Info List'!A21</f>
        <v>BHS9019</v>
      </c>
      <c r="B22" s="48" t="str">
        <f>'Info List'!B21</f>
        <v>MENSAH GLORIA KUSI</v>
      </c>
      <c r="C22" s="49">
        <f>'Info List'!C21</f>
        <v>9</v>
      </c>
      <c r="D22" s="50">
        <v>87</v>
      </c>
      <c r="E22" s="32">
        <f t="shared" si="0"/>
        <v>43.5</v>
      </c>
      <c r="F22" s="50"/>
      <c r="G22" s="32">
        <f t="shared" si="2"/>
        <v>0</v>
      </c>
      <c r="H22" s="51">
        <f t="shared" si="3"/>
        <v>43.5</v>
      </c>
      <c r="I22" s="44">
        <f t="shared" si="1"/>
        <v>12</v>
      </c>
      <c r="J22" s="44">
        <f t="shared" si="4"/>
        <v>7</v>
      </c>
      <c r="K22" s="44" t="str">
        <f>VLOOKUP(H22,'GRADING SYSTEM'!$D$15:$F$23,3)</f>
        <v>PASS</v>
      </c>
    </row>
    <row r="23" spans="1:11" ht="18.75" x14ac:dyDescent="0.25">
      <c r="A23" s="47" t="str">
        <f>'Info List'!A22</f>
        <v>BHS9020</v>
      </c>
      <c r="B23" s="48" t="str">
        <f>'Info List'!B22</f>
        <v>MENSAH KWASI BLESS</v>
      </c>
      <c r="C23" s="49">
        <f>'Info List'!C22</f>
        <v>9</v>
      </c>
      <c r="D23" s="50">
        <v>88</v>
      </c>
      <c r="E23" s="32">
        <f t="shared" si="0"/>
        <v>44</v>
      </c>
      <c r="F23" s="50"/>
      <c r="G23" s="32">
        <f t="shared" si="2"/>
        <v>0</v>
      </c>
      <c r="H23" s="51">
        <f t="shared" si="3"/>
        <v>44</v>
      </c>
      <c r="I23" s="44">
        <f t="shared" si="1"/>
        <v>11</v>
      </c>
      <c r="J23" s="44">
        <f t="shared" si="4"/>
        <v>7</v>
      </c>
      <c r="K23" s="44" t="str">
        <f>VLOOKUP(H23,'GRADING SYSTEM'!$D$15:$F$23,3)</f>
        <v>PASS</v>
      </c>
    </row>
    <row r="24" spans="1:11" ht="18.75" x14ac:dyDescent="0.25">
      <c r="A24" s="47" t="str">
        <f>'Info List'!A23</f>
        <v>BHS9021</v>
      </c>
      <c r="B24" s="48" t="str">
        <f>'Info List'!B23</f>
        <v>MENSAH SHADRACK</v>
      </c>
      <c r="C24" s="49">
        <f>'Info List'!C23</f>
        <v>9</v>
      </c>
      <c r="D24" s="50">
        <v>89</v>
      </c>
      <c r="E24" s="32">
        <f t="shared" ref="E24:E25" si="5">0.5*D24</f>
        <v>44.5</v>
      </c>
      <c r="F24" s="50"/>
      <c r="G24" s="32">
        <f t="shared" ref="G24:G25" si="6">0.5*F24</f>
        <v>0</v>
      </c>
      <c r="H24" s="51">
        <f t="shared" si="3"/>
        <v>44.5</v>
      </c>
      <c r="I24" s="44">
        <f t="shared" si="1"/>
        <v>10</v>
      </c>
      <c r="J24" s="44">
        <f t="shared" ref="J24:J25" si="7">IF(H24&gt;79.5, 1, IF(H24&gt;69.5, 2, IF(H24&gt;59.5, 3, IF(H24&gt;54.5, 4, IF(H24&gt;49.5, 5, IF(H24&gt;44.5, 6, IF(H24&gt;39.5, 7, IF(H24&gt;33.5, 8, IF(H24&gt;-1, 9)))))))))</f>
        <v>7</v>
      </c>
      <c r="K24" s="44" t="str">
        <f>VLOOKUP(H24,'GRADING SYSTEM'!$D$15:$F$23,3)</f>
        <v>PASS</v>
      </c>
    </row>
    <row r="25" spans="1:11" ht="18.75" x14ac:dyDescent="0.25">
      <c r="A25" s="47" t="str">
        <f>'Info List'!A24</f>
        <v>BHS9022</v>
      </c>
      <c r="B25" s="48" t="str">
        <f>'Info List'!B24</f>
        <v>OFORI RODLYNE NANA ADOMA</v>
      </c>
      <c r="C25" s="49">
        <f>'Info List'!C24</f>
        <v>9</v>
      </c>
      <c r="D25" s="50">
        <v>90</v>
      </c>
      <c r="E25" s="32">
        <f t="shared" si="5"/>
        <v>45</v>
      </c>
      <c r="F25" s="50"/>
      <c r="G25" s="32">
        <f t="shared" si="6"/>
        <v>0</v>
      </c>
      <c r="H25" s="51">
        <f t="shared" si="3"/>
        <v>45</v>
      </c>
      <c r="I25" s="44">
        <f t="shared" si="1"/>
        <v>9</v>
      </c>
      <c r="J25" s="44">
        <f t="shared" si="7"/>
        <v>6</v>
      </c>
      <c r="K25" s="44" t="str">
        <f>VLOOKUP(H25,'GRADING SYSTEM'!$D$15:$F$23,3)</f>
        <v>LOW AVERAGE</v>
      </c>
    </row>
    <row r="26" spans="1:11" ht="18.75" x14ac:dyDescent="0.25">
      <c r="A26" s="47" t="str">
        <f>'Info List'!A25</f>
        <v>BHS9023</v>
      </c>
      <c r="B26" s="48" t="str">
        <f>'Info List'!B25</f>
        <v>OPOKU JOEL ODURO SARPONG</v>
      </c>
      <c r="C26" s="49">
        <f>'Info List'!C25</f>
        <v>9</v>
      </c>
      <c r="D26" s="50">
        <v>91</v>
      </c>
      <c r="E26" s="32">
        <f t="shared" ref="E26:E29" si="8">0.5*D26</f>
        <v>45.5</v>
      </c>
      <c r="F26" s="50"/>
      <c r="G26" s="32">
        <f t="shared" ref="G26:G29" si="9">0.5*F26</f>
        <v>0</v>
      </c>
      <c r="H26" s="51">
        <f t="shared" si="3"/>
        <v>45.5</v>
      </c>
      <c r="I26" s="44">
        <f t="shared" si="1"/>
        <v>8</v>
      </c>
      <c r="J26" s="44">
        <f t="shared" ref="J26:J29" si="10">IF(H26&gt;79.5, 1, IF(H26&gt;69.5, 2, IF(H26&gt;59.5, 3, IF(H26&gt;54.5, 4, IF(H26&gt;49.5, 5, IF(H26&gt;44.5, 6, IF(H26&gt;39.5, 7, IF(H26&gt;33.5, 8, IF(H26&gt;-1, 9)))))))))</f>
        <v>6</v>
      </c>
      <c r="K26" s="44" t="str">
        <f>VLOOKUP(H26,'GRADING SYSTEM'!$D$15:$F$23,3)</f>
        <v>LOW AVERAGE</v>
      </c>
    </row>
    <row r="27" spans="1:11" ht="18.75" x14ac:dyDescent="0.25">
      <c r="A27" s="47" t="str">
        <f>'Info List'!A26</f>
        <v>BHS9024</v>
      </c>
      <c r="B27" s="48" t="str">
        <f>'Info List'!B26</f>
        <v>OPPONG NHYIRABA</v>
      </c>
      <c r="C27" s="49">
        <f>'Info List'!C26</f>
        <v>9</v>
      </c>
      <c r="D27" s="50">
        <v>92</v>
      </c>
      <c r="E27" s="32">
        <f t="shared" si="8"/>
        <v>46</v>
      </c>
      <c r="F27" s="50"/>
      <c r="G27" s="32">
        <f t="shared" si="9"/>
        <v>0</v>
      </c>
      <c r="H27" s="51">
        <f t="shared" si="3"/>
        <v>46</v>
      </c>
      <c r="I27" s="44">
        <f t="shared" si="1"/>
        <v>7</v>
      </c>
      <c r="J27" s="44">
        <f t="shared" si="10"/>
        <v>6</v>
      </c>
      <c r="K27" s="44" t="str">
        <f>VLOOKUP(H27,'GRADING SYSTEM'!$D$15:$F$23,3)</f>
        <v>LOW AVERAGE</v>
      </c>
    </row>
    <row r="28" spans="1:11" ht="18.75" x14ac:dyDescent="0.25">
      <c r="A28" s="47" t="str">
        <f>'Info List'!A27</f>
        <v>BHS9025</v>
      </c>
      <c r="B28" s="48" t="str">
        <f>'Info List'!B27</f>
        <v>OPPONG NYAMEBA YAA</v>
      </c>
      <c r="C28" s="49">
        <f>'Info List'!C27</f>
        <v>9</v>
      </c>
      <c r="D28" s="50">
        <v>93</v>
      </c>
      <c r="E28" s="32">
        <f t="shared" si="8"/>
        <v>46.5</v>
      </c>
      <c r="F28" s="50"/>
      <c r="G28" s="32">
        <f t="shared" si="9"/>
        <v>0</v>
      </c>
      <c r="H28" s="51">
        <f t="shared" si="3"/>
        <v>46.5</v>
      </c>
      <c r="I28" s="44">
        <f t="shared" si="1"/>
        <v>6</v>
      </c>
      <c r="J28" s="44">
        <f t="shared" si="10"/>
        <v>6</v>
      </c>
      <c r="K28" s="44" t="str">
        <f>VLOOKUP(H28,'GRADING SYSTEM'!$D$15:$F$23,3)</f>
        <v>LOW AVERAGE</v>
      </c>
    </row>
    <row r="29" spans="1:11" ht="18.75" x14ac:dyDescent="0.25">
      <c r="A29" s="47" t="str">
        <f>'Info List'!A28</f>
        <v>BHS9026</v>
      </c>
      <c r="B29" s="48" t="str">
        <f>'Info List'!B28</f>
        <v>QUARCOO JESSICA</v>
      </c>
      <c r="C29" s="49">
        <f>'Info List'!C28</f>
        <v>9</v>
      </c>
      <c r="D29" s="50">
        <v>94</v>
      </c>
      <c r="E29" s="32">
        <f t="shared" si="8"/>
        <v>47</v>
      </c>
      <c r="F29" s="50"/>
      <c r="G29" s="32">
        <f t="shared" si="9"/>
        <v>0</v>
      </c>
      <c r="H29" s="51">
        <f t="shared" si="3"/>
        <v>47</v>
      </c>
      <c r="I29" s="44">
        <f t="shared" si="1"/>
        <v>5</v>
      </c>
      <c r="J29" s="44">
        <f t="shared" si="10"/>
        <v>6</v>
      </c>
      <c r="K29" s="44" t="str">
        <f>VLOOKUP(H29,'GRADING SYSTEM'!$D$15:$F$23,3)</f>
        <v>LOW AVERAGE</v>
      </c>
    </row>
    <row r="30" spans="1:11" ht="18.75" x14ac:dyDescent="0.25">
      <c r="A30" s="47" t="str">
        <f>'Info List'!A29</f>
        <v>BHS9027</v>
      </c>
      <c r="B30" s="48" t="str">
        <f>'Info List'!B29</f>
        <v>GAKPETOR ISAIAH</v>
      </c>
      <c r="C30" s="49">
        <f>'Info List'!C29</f>
        <v>9</v>
      </c>
      <c r="D30" s="50">
        <v>95</v>
      </c>
      <c r="E30" s="32">
        <f t="shared" ref="E30:E32" si="11">0.5*D30</f>
        <v>47.5</v>
      </c>
      <c r="F30" s="50"/>
      <c r="G30" s="32">
        <f t="shared" ref="G30:G32" si="12">0.5*F30</f>
        <v>0</v>
      </c>
      <c r="H30" s="51">
        <f t="shared" si="3"/>
        <v>47.5</v>
      </c>
      <c r="I30" s="44">
        <f t="shared" si="1"/>
        <v>4</v>
      </c>
      <c r="J30" s="44">
        <f t="shared" ref="J30:J32" si="13">IF(H30&gt;79.5, 1, IF(H30&gt;69.5, 2, IF(H30&gt;59.5, 3, IF(H30&gt;54.5, 4, IF(H30&gt;49.5, 5, IF(H30&gt;44.5, 6, IF(H30&gt;39.5, 7, IF(H30&gt;33.5, 8, IF(H30&gt;-1, 9)))))))))</f>
        <v>6</v>
      </c>
      <c r="K30" s="44" t="str">
        <f>VLOOKUP(H30,'GRADING SYSTEM'!$D$15:$F$23,3)</f>
        <v>LOW AVERAGE</v>
      </c>
    </row>
    <row r="31" spans="1:11" ht="18.75" x14ac:dyDescent="0.25">
      <c r="A31" s="47" t="str">
        <f>'Info List'!A30</f>
        <v>BHS9028</v>
      </c>
      <c r="B31" s="48" t="str">
        <f>'Info List'!B30</f>
        <v>SUDAIS ABDUL RAHMAN MUSA</v>
      </c>
      <c r="C31" s="49">
        <f>'Info List'!C30</f>
        <v>9</v>
      </c>
      <c r="D31" s="50">
        <v>96</v>
      </c>
      <c r="E31" s="32">
        <f t="shared" si="11"/>
        <v>48</v>
      </c>
      <c r="F31" s="50"/>
      <c r="G31" s="32">
        <f t="shared" si="12"/>
        <v>0</v>
      </c>
      <c r="H31" s="51">
        <f t="shared" si="3"/>
        <v>48</v>
      </c>
      <c r="I31" s="44">
        <f t="shared" si="1"/>
        <v>3</v>
      </c>
      <c r="J31" s="44">
        <f t="shared" si="13"/>
        <v>6</v>
      </c>
      <c r="K31" s="44" t="str">
        <f>VLOOKUP(H31,'GRADING SYSTEM'!$D$15:$F$23,3)</f>
        <v>LOW AVERAGE</v>
      </c>
    </row>
    <row r="32" spans="1:11" ht="18.75" x14ac:dyDescent="0.25">
      <c r="A32" s="47" t="str">
        <f>'Info List'!A31</f>
        <v>BHS9029</v>
      </c>
      <c r="B32" s="48" t="str">
        <f>'Info List'!B31</f>
        <v>YEVAKPOR SYLVIA EYRAM</v>
      </c>
      <c r="C32" s="49">
        <f>'Info List'!C31</f>
        <v>9</v>
      </c>
      <c r="D32" s="50">
        <v>97</v>
      </c>
      <c r="E32" s="32">
        <f t="shared" si="11"/>
        <v>48.5</v>
      </c>
      <c r="F32" s="50"/>
      <c r="G32" s="32">
        <f t="shared" si="12"/>
        <v>0</v>
      </c>
      <c r="H32" s="51">
        <f t="shared" si="3"/>
        <v>48.5</v>
      </c>
      <c r="I32" s="44">
        <f t="shared" si="1"/>
        <v>2</v>
      </c>
      <c r="J32" s="44">
        <f t="shared" si="13"/>
        <v>6</v>
      </c>
      <c r="K32" s="44" t="str">
        <f>VLOOKUP(H32,'GRADING SYSTEM'!$D$15:$F$23,3)</f>
        <v>LOW AVERAGE</v>
      </c>
    </row>
  </sheetData>
  <mergeCells count="7">
    <mergeCell ref="I2:I3"/>
    <mergeCell ref="J2:J3"/>
    <mergeCell ref="K2:K3"/>
    <mergeCell ref="A1:K1"/>
    <mergeCell ref="B2:B3"/>
    <mergeCell ref="C2:C3"/>
    <mergeCell ref="A2:A3"/>
  </mergeCells>
  <dataValidations count="1">
    <dataValidation type="whole" allowBlank="1" showInputMessage="1" showErrorMessage="1" errorTitle="WRONG ENTRY" error="Enter marks from 0 to 100" sqref="F4:G32" xr:uid="{00000000-0002-0000-01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92D050"/>
  </sheetPr>
  <dimension ref="A1:K32"/>
  <sheetViews>
    <sheetView zoomScale="80" zoomScaleNormal="80" workbookViewId="0">
      <selection activeCell="F7" sqref="F7"/>
    </sheetView>
  </sheetViews>
  <sheetFormatPr defaultRowHeight="15" x14ac:dyDescent="0.25"/>
  <cols>
    <col min="1" max="1" width="12.5703125" customWidth="1"/>
    <col min="2" max="2" width="40.85546875" customWidth="1"/>
    <col min="3" max="3" width="10.140625" customWidth="1"/>
    <col min="5" max="6" width="12.7109375" customWidth="1"/>
    <col min="7" max="7" width="13.140625" customWidth="1"/>
    <col min="8" max="8" width="14.28515625" customWidth="1"/>
    <col min="9" max="9" width="10.5703125" customWidth="1"/>
    <col min="11" max="11" width="33.140625" customWidth="1"/>
  </cols>
  <sheetData>
    <row r="1" spans="1:11" ht="33.75" x14ac:dyDescent="0.5">
      <c r="A1" s="93" t="s">
        <v>37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ht="45" customHeight="1" x14ac:dyDescent="0.25">
      <c r="A2" s="17" t="s">
        <v>9</v>
      </c>
      <c r="B2" s="88" t="s">
        <v>2</v>
      </c>
      <c r="C2" s="88" t="s">
        <v>3</v>
      </c>
      <c r="D2" s="4" t="s">
        <v>10</v>
      </c>
      <c r="E2" s="45" t="s">
        <v>11</v>
      </c>
      <c r="F2" s="9" t="s">
        <v>57</v>
      </c>
      <c r="G2" s="45" t="s">
        <v>12</v>
      </c>
      <c r="H2" s="5" t="s">
        <v>14</v>
      </c>
      <c r="I2" s="88" t="s">
        <v>15</v>
      </c>
      <c r="J2" s="89" t="s">
        <v>16</v>
      </c>
      <c r="K2" s="88" t="s">
        <v>17</v>
      </c>
    </row>
    <row r="3" spans="1:11" ht="15" customHeight="1" x14ac:dyDescent="0.25">
      <c r="A3" s="17"/>
      <c r="B3" s="88"/>
      <c r="C3" s="88"/>
      <c r="D3" s="53">
        <v>1</v>
      </c>
      <c r="E3" s="53" t="s">
        <v>18</v>
      </c>
      <c r="F3" s="54">
        <v>1</v>
      </c>
      <c r="G3" s="53" t="s">
        <v>136</v>
      </c>
      <c r="H3" s="52" t="s">
        <v>137</v>
      </c>
      <c r="I3" s="88"/>
      <c r="J3" s="89"/>
      <c r="K3" s="88"/>
    </row>
    <row r="4" spans="1:11" ht="18.75" customHeight="1" x14ac:dyDescent="0.3">
      <c r="A4" s="55" t="str">
        <f>'Info List'!A3</f>
        <v>BHS9001</v>
      </c>
      <c r="B4" s="56" t="str">
        <f>'Info List'!B3</f>
        <v>ABRAKWAH EVA OWUSUAA</v>
      </c>
      <c r="C4" s="57">
        <f>'Info List'!C3</f>
        <v>9</v>
      </c>
      <c r="D4" s="50">
        <v>78</v>
      </c>
      <c r="E4" s="46">
        <f>0.5*D4</f>
        <v>39</v>
      </c>
      <c r="F4" s="50">
        <v>85</v>
      </c>
      <c r="G4" s="46">
        <f t="shared" ref="G4:G23" si="0">0.5*F4</f>
        <v>42.5</v>
      </c>
      <c r="H4" s="58">
        <f t="shared" ref="H4:H23" si="1">E4+G4</f>
        <v>81.5</v>
      </c>
      <c r="I4" s="42">
        <f t="shared" ref="I4:I32" si="2">RANK(H4,$H$4:$H$32)</f>
        <v>1</v>
      </c>
      <c r="J4" s="42">
        <f>IF(H4&gt;79.5, 1, IF(H4&gt;69.5, 2, IF(H4&gt;59.5, 3, IF(H4&gt;54.5, 4, IF(H4&gt;49.5, 5, IF(H4&gt;44.5, 6, IF(H4&gt;39.5, 7, IF(H4&gt;33.5, 8, IF(H4&gt;-1, 9)))))))))</f>
        <v>1</v>
      </c>
      <c r="K4" s="42" t="str">
        <f>VLOOKUP(H4,'GRADING SYSTEM'!$D$15:$F$23,3)</f>
        <v>EXCELLENT</v>
      </c>
    </row>
    <row r="5" spans="1:11" ht="18.75" customHeight="1" x14ac:dyDescent="0.3">
      <c r="A5" s="55" t="str">
        <f>'Info List'!A4</f>
        <v>BHS9002</v>
      </c>
      <c r="B5" s="56" t="str">
        <f>'Info List'!B4</f>
        <v>ADZILAFU EDWARD</v>
      </c>
      <c r="C5" s="57">
        <f>'Info List'!C4</f>
        <v>9</v>
      </c>
      <c r="D5" s="50">
        <v>70</v>
      </c>
      <c r="E5" s="46">
        <f t="shared" ref="E5:E23" si="3">0.5*D5</f>
        <v>35</v>
      </c>
      <c r="F5" s="50"/>
      <c r="G5" s="46">
        <f t="shared" si="0"/>
        <v>0</v>
      </c>
      <c r="H5" s="58">
        <f t="shared" si="1"/>
        <v>35</v>
      </c>
      <c r="I5" s="42">
        <f t="shared" si="2"/>
        <v>29</v>
      </c>
      <c r="J5" s="42">
        <f t="shared" ref="J5:J23" si="4">IF(H5&gt;79.5, 1, IF(H5&gt;69.5, 2, IF(H5&gt;59.5, 3, IF(H5&gt;54.5, 4, IF(H5&gt;49.5, 5, IF(H5&gt;44.5, 6, IF(H5&gt;39.5, 7, IF(H5&gt;33.5, 8, IF(H5&gt;-1, 9)))))))))</f>
        <v>8</v>
      </c>
      <c r="K5" s="42" t="str">
        <f>VLOOKUP(H5,'GRADING SYSTEM'!$D$15:$F$23,3)</f>
        <v>WEAK PASS</v>
      </c>
    </row>
    <row r="6" spans="1:11" ht="18.75" customHeight="1" x14ac:dyDescent="0.3">
      <c r="A6" s="55" t="str">
        <f>'Info List'!A5</f>
        <v>BHS9003</v>
      </c>
      <c r="B6" s="56" t="str">
        <f>'Info List'!B5</f>
        <v>AGYEPONG DASEBRE</v>
      </c>
      <c r="C6" s="57">
        <f>'Info List'!C5</f>
        <v>9</v>
      </c>
      <c r="D6" s="50">
        <v>71</v>
      </c>
      <c r="E6" s="46">
        <f t="shared" si="3"/>
        <v>35.5</v>
      </c>
      <c r="F6" s="50"/>
      <c r="G6" s="46">
        <f t="shared" si="0"/>
        <v>0</v>
      </c>
      <c r="H6" s="58">
        <f t="shared" si="1"/>
        <v>35.5</v>
      </c>
      <c r="I6" s="42">
        <f t="shared" si="2"/>
        <v>28</v>
      </c>
      <c r="J6" s="42">
        <f t="shared" si="4"/>
        <v>8</v>
      </c>
      <c r="K6" s="42" t="str">
        <f>VLOOKUP(H6,'GRADING SYSTEM'!$D$15:$F$23,3)</f>
        <v>WEAK PASS</v>
      </c>
    </row>
    <row r="7" spans="1:11" ht="18.75" customHeight="1" x14ac:dyDescent="0.3">
      <c r="A7" s="55" t="str">
        <f>'Info List'!A6</f>
        <v>BHS9004</v>
      </c>
      <c r="B7" s="56" t="str">
        <f>'Info List'!B6</f>
        <v>ANIWA JOANA SEYRAM</v>
      </c>
      <c r="C7" s="57">
        <f>'Info List'!C6</f>
        <v>9</v>
      </c>
      <c r="D7" s="50">
        <v>72</v>
      </c>
      <c r="E7" s="46">
        <f t="shared" si="3"/>
        <v>36</v>
      </c>
      <c r="F7" s="50"/>
      <c r="G7" s="46">
        <f t="shared" si="0"/>
        <v>0</v>
      </c>
      <c r="H7" s="58">
        <f t="shared" si="1"/>
        <v>36</v>
      </c>
      <c r="I7" s="42">
        <f t="shared" si="2"/>
        <v>27</v>
      </c>
      <c r="J7" s="42">
        <f t="shared" si="4"/>
        <v>8</v>
      </c>
      <c r="K7" s="42" t="str">
        <f>VLOOKUP(H7,'GRADING SYSTEM'!$D$15:$F$23,3)</f>
        <v>WEAK PASS</v>
      </c>
    </row>
    <row r="8" spans="1:11" ht="18.75" customHeight="1" x14ac:dyDescent="0.3">
      <c r="A8" s="55" t="str">
        <f>'Info List'!A7</f>
        <v>BHS9005</v>
      </c>
      <c r="B8" s="56" t="str">
        <f>'Info List'!B7</f>
        <v>ANNAN AGNES</v>
      </c>
      <c r="C8" s="57">
        <f>'Info List'!C7</f>
        <v>9</v>
      </c>
      <c r="D8" s="50">
        <v>73</v>
      </c>
      <c r="E8" s="46">
        <f t="shared" si="3"/>
        <v>36.5</v>
      </c>
      <c r="F8" s="50"/>
      <c r="G8" s="46">
        <f t="shared" si="0"/>
        <v>0</v>
      </c>
      <c r="H8" s="58">
        <f t="shared" si="1"/>
        <v>36.5</v>
      </c>
      <c r="I8" s="42">
        <f t="shared" si="2"/>
        <v>26</v>
      </c>
      <c r="J8" s="42">
        <f t="shared" si="4"/>
        <v>8</v>
      </c>
      <c r="K8" s="42" t="str">
        <f>VLOOKUP(H8,'GRADING SYSTEM'!$D$15:$F$23,3)</f>
        <v>WEAK PASS</v>
      </c>
    </row>
    <row r="9" spans="1:11" ht="18.75" customHeight="1" x14ac:dyDescent="0.3">
      <c r="A9" s="55" t="str">
        <f>'Info List'!A8</f>
        <v>BHS9006</v>
      </c>
      <c r="B9" s="56" t="str">
        <f>'Info List'!B8</f>
        <v>ARTHUR LILLIAN ABENA</v>
      </c>
      <c r="C9" s="57">
        <f>'Info List'!C8</f>
        <v>9</v>
      </c>
      <c r="D9" s="50">
        <v>74</v>
      </c>
      <c r="E9" s="46">
        <f t="shared" si="3"/>
        <v>37</v>
      </c>
      <c r="F9" s="50"/>
      <c r="G9" s="46">
        <f t="shared" si="0"/>
        <v>0</v>
      </c>
      <c r="H9" s="58">
        <f t="shared" si="1"/>
        <v>37</v>
      </c>
      <c r="I9" s="42">
        <f t="shared" si="2"/>
        <v>25</v>
      </c>
      <c r="J9" s="42">
        <f t="shared" si="4"/>
        <v>8</v>
      </c>
      <c r="K9" s="42" t="str">
        <f>VLOOKUP(H9,'GRADING SYSTEM'!$D$15:$F$23,3)</f>
        <v>WEAK PASS</v>
      </c>
    </row>
    <row r="10" spans="1:11" ht="18.75" customHeight="1" x14ac:dyDescent="0.3">
      <c r="A10" s="55" t="str">
        <f>'Info List'!A9</f>
        <v>BHS9007</v>
      </c>
      <c r="B10" s="56" t="str">
        <f>'Info List'!B9</f>
        <v>ASARE JACOB</v>
      </c>
      <c r="C10" s="57">
        <f>'Info List'!C9</f>
        <v>9</v>
      </c>
      <c r="D10" s="50">
        <v>75</v>
      </c>
      <c r="E10" s="46">
        <f t="shared" si="3"/>
        <v>37.5</v>
      </c>
      <c r="F10" s="50"/>
      <c r="G10" s="46">
        <f t="shared" si="0"/>
        <v>0</v>
      </c>
      <c r="H10" s="58">
        <f t="shared" si="1"/>
        <v>37.5</v>
      </c>
      <c r="I10" s="42">
        <f t="shared" si="2"/>
        <v>24</v>
      </c>
      <c r="J10" s="42">
        <f t="shared" si="4"/>
        <v>8</v>
      </c>
      <c r="K10" s="42" t="str">
        <f>VLOOKUP(H10,'GRADING SYSTEM'!$D$15:$F$23,3)</f>
        <v>WEAK PASS</v>
      </c>
    </row>
    <row r="11" spans="1:11" ht="18.75" customHeight="1" x14ac:dyDescent="0.3">
      <c r="A11" s="55" t="str">
        <f>'Info List'!A10</f>
        <v>BHS9008</v>
      </c>
      <c r="B11" s="56" t="str">
        <f>'Info List'!B10</f>
        <v>BAAH JOSEPHINE KONADU</v>
      </c>
      <c r="C11" s="57">
        <f>'Info List'!C10</f>
        <v>9</v>
      </c>
      <c r="D11" s="50">
        <v>76</v>
      </c>
      <c r="E11" s="46">
        <f t="shared" si="3"/>
        <v>38</v>
      </c>
      <c r="F11" s="50"/>
      <c r="G11" s="46">
        <f t="shared" si="0"/>
        <v>0</v>
      </c>
      <c r="H11" s="58">
        <f t="shared" si="1"/>
        <v>38</v>
      </c>
      <c r="I11" s="42">
        <f t="shared" si="2"/>
        <v>23</v>
      </c>
      <c r="J11" s="42">
        <f t="shared" si="4"/>
        <v>8</v>
      </c>
      <c r="K11" s="42" t="str">
        <f>VLOOKUP(H11,'GRADING SYSTEM'!$D$15:$F$23,3)</f>
        <v>WEAK PASS</v>
      </c>
    </row>
    <row r="12" spans="1:11" ht="18.75" customHeight="1" x14ac:dyDescent="0.3">
      <c r="A12" s="55" t="str">
        <f>'Info List'!A11</f>
        <v>BHS9009</v>
      </c>
      <c r="B12" s="56" t="str">
        <f>'Info List'!B11</f>
        <v>BAIDOO MIDRED</v>
      </c>
      <c r="C12" s="57">
        <f>'Info List'!C11</f>
        <v>9</v>
      </c>
      <c r="D12" s="50">
        <v>77</v>
      </c>
      <c r="E12" s="46">
        <f t="shared" si="3"/>
        <v>38.5</v>
      </c>
      <c r="F12" s="50"/>
      <c r="G12" s="46">
        <f t="shared" si="0"/>
        <v>0</v>
      </c>
      <c r="H12" s="58">
        <f t="shared" si="1"/>
        <v>38.5</v>
      </c>
      <c r="I12" s="42">
        <f t="shared" si="2"/>
        <v>22</v>
      </c>
      <c r="J12" s="42">
        <f t="shared" si="4"/>
        <v>8</v>
      </c>
      <c r="K12" s="42" t="str">
        <f>VLOOKUP(H12,'GRADING SYSTEM'!$D$15:$F$23,3)</f>
        <v>WEAK PASS</v>
      </c>
    </row>
    <row r="13" spans="1:11" ht="18.75" customHeight="1" x14ac:dyDescent="0.3">
      <c r="A13" s="55" t="str">
        <f>'Info List'!A12</f>
        <v>BHS9010</v>
      </c>
      <c r="B13" s="56" t="str">
        <f>'Info List'!B12</f>
        <v>BOAKYE KELVIN OWUSU</v>
      </c>
      <c r="C13" s="57">
        <f>'Info List'!C12</f>
        <v>9</v>
      </c>
      <c r="D13" s="50">
        <v>78</v>
      </c>
      <c r="E13" s="46">
        <f t="shared" si="3"/>
        <v>39</v>
      </c>
      <c r="F13" s="50"/>
      <c r="G13" s="46">
        <f t="shared" si="0"/>
        <v>0</v>
      </c>
      <c r="H13" s="58">
        <f t="shared" si="1"/>
        <v>39</v>
      </c>
      <c r="I13" s="42">
        <f t="shared" si="2"/>
        <v>21</v>
      </c>
      <c r="J13" s="42">
        <f t="shared" si="4"/>
        <v>8</v>
      </c>
      <c r="K13" s="42" t="str">
        <f>VLOOKUP(H13,'GRADING SYSTEM'!$D$15:$F$23,3)</f>
        <v>WEAK PASS</v>
      </c>
    </row>
    <row r="14" spans="1:11" ht="18.75" customHeight="1" x14ac:dyDescent="0.3">
      <c r="A14" s="55" t="str">
        <f>'Info List'!A13</f>
        <v>BHS9011</v>
      </c>
      <c r="B14" s="56" t="str">
        <f>'Info List'!B13</f>
        <v>BOATENG NICHOLAS KELVIN</v>
      </c>
      <c r="C14" s="57">
        <f>'Info List'!C13</f>
        <v>9</v>
      </c>
      <c r="D14" s="50">
        <v>79</v>
      </c>
      <c r="E14" s="46">
        <f t="shared" si="3"/>
        <v>39.5</v>
      </c>
      <c r="F14" s="50"/>
      <c r="G14" s="46">
        <f t="shared" si="0"/>
        <v>0</v>
      </c>
      <c r="H14" s="58">
        <f t="shared" si="1"/>
        <v>39.5</v>
      </c>
      <c r="I14" s="42">
        <f t="shared" si="2"/>
        <v>20</v>
      </c>
      <c r="J14" s="42">
        <f t="shared" si="4"/>
        <v>8</v>
      </c>
      <c r="K14" s="42" t="str">
        <f>VLOOKUP(H14,'GRADING SYSTEM'!$D$15:$F$23,3)</f>
        <v>WEAK PASS</v>
      </c>
    </row>
    <row r="15" spans="1:11" ht="18.75" customHeight="1" x14ac:dyDescent="0.3">
      <c r="A15" s="55" t="str">
        <f>'Info List'!A14</f>
        <v>BHS9012</v>
      </c>
      <c r="B15" s="56" t="str">
        <f>'Info List'!B14</f>
        <v>CHARKITEY JOSEPH TETTEY EMEKOH</v>
      </c>
      <c r="C15" s="57">
        <f>'Info List'!C14</f>
        <v>9</v>
      </c>
      <c r="D15" s="50">
        <v>80</v>
      </c>
      <c r="E15" s="46">
        <f t="shared" si="3"/>
        <v>40</v>
      </c>
      <c r="F15" s="50"/>
      <c r="G15" s="46">
        <f t="shared" si="0"/>
        <v>0</v>
      </c>
      <c r="H15" s="58">
        <f t="shared" si="1"/>
        <v>40</v>
      </c>
      <c r="I15" s="42">
        <f t="shared" si="2"/>
        <v>19</v>
      </c>
      <c r="J15" s="42">
        <f t="shared" si="4"/>
        <v>7</v>
      </c>
      <c r="K15" s="42" t="str">
        <f>VLOOKUP(H15,'GRADING SYSTEM'!$D$15:$F$23,3)</f>
        <v>PASS</v>
      </c>
    </row>
    <row r="16" spans="1:11" ht="18.75" customHeight="1" x14ac:dyDescent="0.3">
      <c r="A16" s="55" t="str">
        <f>'Info List'!A15</f>
        <v>BHS9013</v>
      </c>
      <c r="B16" s="56" t="str">
        <f>'Info List'!B15</f>
        <v>DANKWAH AMA JANEL</v>
      </c>
      <c r="C16" s="57">
        <f>'Info List'!C15</f>
        <v>9</v>
      </c>
      <c r="D16" s="50">
        <v>81</v>
      </c>
      <c r="E16" s="46">
        <f t="shared" si="3"/>
        <v>40.5</v>
      </c>
      <c r="F16" s="50"/>
      <c r="G16" s="46">
        <f t="shared" si="0"/>
        <v>0</v>
      </c>
      <c r="H16" s="58">
        <f t="shared" si="1"/>
        <v>40.5</v>
      </c>
      <c r="I16" s="42">
        <f t="shared" si="2"/>
        <v>18</v>
      </c>
      <c r="J16" s="42">
        <f t="shared" si="4"/>
        <v>7</v>
      </c>
      <c r="K16" s="42" t="str">
        <f>VLOOKUP(H16,'GRADING SYSTEM'!$D$15:$F$23,3)</f>
        <v>PASS</v>
      </c>
    </row>
    <row r="17" spans="1:11" ht="18.75" customHeight="1" x14ac:dyDescent="0.3">
      <c r="A17" s="55" t="str">
        <f>'Info List'!A16</f>
        <v>BHS9014</v>
      </c>
      <c r="B17" s="56" t="str">
        <f>'Info List'!B16</f>
        <v>DANKWAH SHANTEL</v>
      </c>
      <c r="C17" s="57">
        <f>'Info List'!C16</f>
        <v>9</v>
      </c>
      <c r="D17" s="50">
        <v>82</v>
      </c>
      <c r="E17" s="46">
        <f t="shared" si="3"/>
        <v>41</v>
      </c>
      <c r="F17" s="50"/>
      <c r="G17" s="46">
        <f t="shared" si="0"/>
        <v>0</v>
      </c>
      <c r="H17" s="58">
        <f t="shared" si="1"/>
        <v>41</v>
      </c>
      <c r="I17" s="42">
        <f t="shared" si="2"/>
        <v>17</v>
      </c>
      <c r="J17" s="42">
        <f t="shared" si="4"/>
        <v>7</v>
      </c>
      <c r="K17" s="42" t="str">
        <f>VLOOKUP(H17,'GRADING SYSTEM'!$D$15:$F$23,3)</f>
        <v>PASS</v>
      </c>
    </row>
    <row r="18" spans="1:11" ht="18.75" customHeight="1" x14ac:dyDescent="0.3">
      <c r="A18" s="55" t="str">
        <f>'Info List'!A17</f>
        <v>BHS9015</v>
      </c>
      <c r="B18" s="56" t="str">
        <f>'Info List'!B17</f>
        <v>ESSILFIE ENOCH</v>
      </c>
      <c r="C18" s="57">
        <f>'Info List'!C17</f>
        <v>9</v>
      </c>
      <c r="D18" s="50">
        <v>83</v>
      </c>
      <c r="E18" s="46">
        <f t="shared" si="3"/>
        <v>41.5</v>
      </c>
      <c r="F18" s="50"/>
      <c r="G18" s="46">
        <f t="shared" si="0"/>
        <v>0</v>
      </c>
      <c r="H18" s="58">
        <f t="shared" si="1"/>
        <v>41.5</v>
      </c>
      <c r="I18" s="42">
        <f t="shared" si="2"/>
        <v>16</v>
      </c>
      <c r="J18" s="42">
        <f t="shared" si="4"/>
        <v>7</v>
      </c>
      <c r="K18" s="42" t="str">
        <f>VLOOKUP(H18,'GRADING SYSTEM'!$D$15:$F$23,3)</f>
        <v>PASS</v>
      </c>
    </row>
    <row r="19" spans="1:11" ht="18.75" customHeight="1" x14ac:dyDescent="0.3">
      <c r="A19" s="55" t="str">
        <f>'Info List'!A18</f>
        <v>BHS9016</v>
      </c>
      <c r="B19" s="56" t="str">
        <f>'Info List'!B18</f>
        <v>GANDAA LINDA</v>
      </c>
      <c r="C19" s="57">
        <f>'Info List'!C18</f>
        <v>9</v>
      </c>
      <c r="D19" s="50">
        <v>84</v>
      </c>
      <c r="E19" s="46">
        <f t="shared" si="3"/>
        <v>42</v>
      </c>
      <c r="F19" s="50"/>
      <c r="G19" s="46">
        <f t="shared" si="0"/>
        <v>0</v>
      </c>
      <c r="H19" s="58">
        <f t="shared" si="1"/>
        <v>42</v>
      </c>
      <c r="I19" s="42">
        <f t="shared" si="2"/>
        <v>15</v>
      </c>
      <c r="J19" s="42">
        <f t="shared" si="4"/>
        <v>7</v>
      </c>
      <c r="K19" s="42" t="str">
        <f>VLOOKUP(H19,'GRADING SYSTEM'!$D$15:$F$23,3)</f>
        <v>PASS</v>
      </c>
    </row>
    <row r="20" spans="1:11" ht="18.75" customHeight="1" x14ac:dyDescent="0.3">
      <c r="A20" s="55" t="str">
        <f>'Info List'!A19</f>
        <v>BHS9017</v>
      </c>
      <c r="B20" s="56" t="str">
        <f>'Info List'!B19</f>
        <v>GEORGINA DUSHIE QUEENSTAR</v>
      </c>
      <c r="C20" s="57">
        <f>'Info List'!C19</f>
        <v>9</v>
      </c>
      <c r="D20" s="50">
        <v>85</v>
      </c>
      <c r="E20" s="46">
        <f t="shared" si="3"/>
        <v>42.5</v>
      </c>
      <c r="F20" s="50"/>
      <c r="G20" s="46">
        <f t="shared" si="0"/>
        <v>0</v>
      </c>
      <c r="H20" s="58">
        <f t="shared" si="1"/>
        <v>42.5</v>
      </c>
      <c r="I20" s="42">
        <f t="shared" si="2"/>
        <v>14</v>
      </c>
      <c r="J20" s="42">
        <f t="shared" si="4"/>
        <v>7</v>
      </c>
      <c r="K20" s="42" t="str">
        <f>VLOOKUP(H20,'GRADING SYSTEM'!$D$15:$F$23,3)</f>
        <v>PASS</v>
      </c>
    </row>
    <row r="21" spans="1:11" ht="18.75" customHeight="1" x14ac:dyDescent="0.3">
      <c r="A21" s="55" t="str">
        <f>'Info List'!A20</f>
        <v>BHS9018</v>
      </c>
      <c r="B21" s="56" t="str">
        <f>'Info List'!B20</f>
        <v>GYAKYE AMPONSAH EKUA</v>
      </c>
      <c r="C21" s="57">
        <f>'Info List'!C20</f>
        <v>9</v>
      </c>
      <c r="D21" s="50">
        <v>86</v>
      </c>
      <c r="E21" s="46">
        <f t="shared" si="3"/>
        <v>43</v>
      </c>
      <c r="F21" s="50"/>
      <c r="G21" s="46">
        <f t="shared" si="0"/>
        <v>0</v>
      </c>
      <c r="H21" s="58">
        <f t="shared" si="1"/>
        <v>43</v>
      </c>
      <c r="I21" s="42">
        <f t="shared" si="2"/>
        <v>13</v>
      </c>
      <c r="J21" s="42">
        <f t="shared" si="4"/>
        <v>7</v>
      </c>
      <c r="K21" s="42" t="str">
        <f>VLOOKUP(H21,'GRADING SYSTEM'!$D$15:$F$23,3)</f>
        <v>PASS</v>
      </c>
    </row>
    <row r="22" spans="1:11" ht="18.75" customHeight="1" x14ac:dyDescent="0.3">
      <c r="A22" s="55" t="str">
        <f>'Info List'!A21</f>
        <v>BHS9019</v>
      </c>
      <c r="B22" s="56" t="str">
        <f>'Info List'!B21</f>
        <v>MENSAH GLORIA KUSI</v>
      </c>
      <c r="C22" s="57">
        <f>'Info List'!C21</f>
        <v>9</v>
      </c>
      <c r="D22" s="50">
        <v>87</v>
      </c>
      <c r="E22" s="46">
        <f t="shared" si="3"/>
        <v>43.5</v>
      </c>
      <c r="F22" s="50"/>
      <c r="G22" s="46">
        <f t="shared" si="0"/>
        <v>0</v>
      </c>
      <c r="H22" s="58">
        <f t="shared" si="1"/>
        <v>43.5</v>
      </c>
      <c r="I22" s="42">
        <f t="shared" si="2"/>
        <v>12</v>
      </c>
      <c r="J22" s="42">
        <f t="shared" si="4"/>
        <v>7</v>
      </c>
      <c r="K22" s="42" t="str">
        <f>VLOOKUP(H22,'GRADING SYSTEM'!$D$15:$F$23,3)</f>
        <v>PASS</v>
      </c>
    </row>
    <row r="23" spans="1:11" ht="18.75" customHeight="1" x14ac:dyDescent="0.3">
      <c r="A23" s="55" t="str">
        <f>'Info List'!A22</f>
        <v>BHS9020</v>
      </c>
      <c r="B23" s="56" t="str">
        <f>'Info List'!B22</f>
        <v>MENSAH KWASI BLESS</v>
      </c>
      <c r="C23" s="57">
        <f>'Info List'!C22</f>
        <v>9</v>
      </c>
      <c r="D23" s="50">
        <v>88</v>
      </c>
      <c r="E23" s="46">
        <f t="shared" si="3"/>
        <v>44</v>
      </c>
      <c r="F23" s="50"/>
      <c r="G23" s="46">
        <f t="shared" si="0"/>
        <v>0</v>
      </c>
      <c r="H23" s="58">
        <f t="shared" si="1"/>
        <v>44</v>
      </c>
      <c r="I23" s="42">
        <f t="shared" si="2"/>
        <v>11</v>
      </c>
      <c r="J23" s="42">
        <f t="shared" si="4"/>
        <v>7</v>
      </c>
      <c r="K23" s="42" t="str">
        <f>VLOOKUP(H23,'GRADING SYSTEM'!$D$15:$F$23,3)</f>
        <v>PASS</v>
      </c>
    </row>
    <row r="24" spans="1:11" ht="18.75" x14ac:dyDescent="0.3">
      <c r="A24" s="55" t="str">
        <f>'Info List'!A23</f>
        <v>BHS9021</v>
      </c>
      <c r="B24" s="56" t="str">
        <f>'Info List'!B23</f>
        <v>MENSAH SHADRACK</v>
      </c>
      <c r="C24" s="57">
        <f>'Info List'!C23</f>
        <v>9</v>
      </c>
      <c r="D24" s="50">
        <v>89</v>
      </c>
      <c r="E24" s="46">
        <f t="shared" ref="E24:E25" si="5">0.5*D24</f>
        <v>44.5</v>
      </c>
      <c r="F24" s="50"/>
      <c r="G24" s="46">
        <f t="shared" ref="G24:G25" si="6">0.5*F24</f>
        <v>0</v>
      </c>
      <c r="H24" s="58">
        <f t="shared" ref="H24:H25" si="7">E24+G24</f>
        <v>44.5</v>
      </c>
      <c r="I24" s="42">
        <f t="shared" si="2"/>
        <v>10</v>
      </c>
      <c r="J24" s="42">
        <f t="shared" ref="J24:J25" si="8">IF(H24&gt;79.5, 1, IF(H24&gt;69.5, 2, IF(H24&gt;59.5, 3, IF(H24&gt;54.5, 4, IF(H24&gt;49.5, 5, IF(H24&gt;44.5, 6, IF(H24&gt;39.5, 7, IF(H24&gt;33.5, 8, IF(H24&gt;-1, 9)))))))))</f>
        <v>7</v>
      </c>
      <c r="K24" s="42" t="str">
        <f>VLOOKUP(H24,'GRADING SYSTEM'!$D$15:$F$23,3)</f>
        <v>PASS</v>
      </c>
    </row>
    <row r="25" spans="1:11" ht="18.75" x14ac:dyDescent="0.3">
      <c r="A25" s="55" t="str">
        <f>'Info List'!A24</f>
        <v>BHS9022</v>
      </c>
      <c r="B25" s="56" t="str">
        <f>'Info List'!B24</f>
        <v>OFORI RODLYNE NANA ADOMA</v>
      </c>
      <c r="C25" s="57">
        <f>'Info List'!C24</f>
        <v>9</v>
      </c>
      <c r="D25" s="50">
        <v>90</v>
      </c>
      <c r="E25" s="46">
        <f t="shared" si="5"/>
        <v>45</v>
      </c>
      <c r="F25" s="50"/>
      <c r="G25" s="46">
        <f t="shared" si="6"/>
        <v>0</v>
      </c>
      <c r="H25" s="58">
        <f t="shared" si="7"/>
        <v>45</v>
      </c>
      <c r="I25" s="42">
        <f t="shared" si="2"/>
        <v>9</v>
      </c>
      <c r="J25" s="42">
        <f t="shared" si="8"/>
        <v>6</v>
      </c>
      <c r="K25" s="42" t="str">
        <f>VLOOKUP(H25,'GRADING SYSTEM'!$D$15:$F$23,3)</f>
        <v>LOW AVERAGE</v>
      </c>
    </row>
    <row r="26" spans="1:11" ht="18.75" x14ac:dyDescent="0.3">
      <c r="A26" s="55" t="str">
        <f>'Info List'!A25</f>
        <v>BHS9023</v>
      </c>
      <c r="B26" s="56" t="str">
        <f>'Info List'!B25</f>
        <v>OPOKU JOEL ODURO SARPONG</v>
      </c>
      <c r="C26" s="57">
        <f>'Info List'!C25</f>
        <v>9</v>
      </c>
      <c r="D26" s="50">
        <v>91</v>
      </c>
      <c r="E26" s="46">
        <f t="shared" ref="E26:E29" si="9">0.5*D26</f>
        <v>45.5</v>
      </c>
      <c r="F26" s="50"/>
      <c r="G26" s="46">
        <f t="shared" ref="G26:G29" si="10">0.5*F26</f>
        <v>0</v>
      </c>
      <c r="H26" s="58">
        <f t="shared" ref="H26:H29" si="11">E26+G26</f>
        <v>45.5</v>
      </c>
      <c r="I26" s="42">
        <f t="shared" si="2"/>
        <v>8</v>
      </c>
      <c r="J26" s="42">
        <f t="shared" ref="J26:J29" si="12">IF(H26&gt;79.5, 1, IF(H26&gt;69.5, 2, IF(H26&gt;59.5, 3, IF(H26&gt;54.5, 4, IF(H26&gt;49.5, 5, IF(H26&gt;44.5, 6, IF(H26&gt;39.5, 7, IF(H26&gt;33.5, 8, IF(H26&gt;-1, 9)))))))))</f>
        <v>6</v>
      </c>
      <c r="K26" s="42" t="str">
        <f>VLOOKUP(H26,'GRADING SYSTEM'!$D$15:$F$23,3)</f>
        <v>LOW AVERAGE</v>
      </c>
    </row>
    <row r="27" spans="1:11" ht="18.75" x14ac:dyDescent="0.3">
      <c r="A27" s="55" t="str">
        <f>'Info List'!A26</f>
        <v>BHS9024</v>
      </c>
      <c r="B27" s="56" t="str">
        <f>'Info List'!B26</f>
        <v>OPPONG NHYIRABA</v>
      </c>
      <c r="C27" s="57">
        <f>'Info List'!C26</f>
        <v>9</v>
      </c>
      <c r="D27" s="50">
        <v>92</v>
      </c>
      <c r="E27" s="46">
        <f t="shared" si="9"/>
        <v>46</v>
      </c>
      <c r="F27" s="50"/>
      <c r="G27" s="46">
        <f t="shared" si="10"/>
        <v>0</v>
      </c>
      <c r="H27" s="58">
        <f t="shared" si="11"/>
        <v>46</v>
      </c>
      <c r="I27" s="42">
        <f t="shared" si="2"/>
        <v>7</v>
      </c>
      <c r="J27" s="42">
        <f t="shared" si="12"/>
        <v>6</v>
      </c>
      <c r="K27" s="42" t="str">
        <f>VLOOKUP(H27,'GRADING SYSTEM'!$D$15:$F$23,3)</f>
        <v>LOW AVERAGE</v>
      </c>
    </row>
    <row r="28" spans="1:11" ht="18.75" x14ac:dyDescent="0.3">
      <c r="A28" s="55" t="str">
        <f>'Info List'!A27</f>
        <v>BHS9025</v>
      </c>
      <c r="B28" s="56" t="str">
        <f>'Info List'!B27</f>
        <v>OPPONG NYAMEBA YAA</v>
      </c>
      <c r="C28" s="57">
        <f>'Info List'!C27</f>
        <v>9</v>
      </c>
      <c r="D28" s="50">
        <v>93</v>
      </c>
      <c r="E28" s="46">
        <f t="shared" si="9"/>
        <v>46.5</v>
      </c>
      <c r="F28" s="50"/>
      <c r="G28" s="46">
        <f t="shared" si="10"/>
        <v>0</v>
      </c>
      <c r="H28" s="58">
        <f t="shared" si="11"/>
        <v>46.5</v>
      </c>
      <c r="I28" s="42">
        <f t="shared" si="2"/>
        <v>6</v>
      </c>
      <c r="J28" s="42">
        <f t="shared" si="12"/>
        <v>6</v>
      </c>
      <c r="K28" s="42" t="str">
        <f>VLOOKUP(H28,'GRADING SYSTEM'!$D$15:$F$23,3)</f>
        <v>LOW AVERAGE</v>
      </c>
    </row>
    <row r="29" spans="1:11" ht="18.75" x14ac:dyDescent="0.3">
      <c r="A29" s="55" t="str">
        <f>'Info List'!A28</f>
        <v>BHS9026</v>
      </c>
      <c r="B29" s="56" t="str">
        <f>'Info List'!B28</f>
        <v>QUARCOO JESSICA</v>
      </c>
      <c r="C29" s="57">
        <f>'Info List'!C28</f>
        <v>9</v>
      </c>
      <c r="D29" s="50">
        <v>94</v>
      </c>
      <c r="E29" s="46">
        <f t="shared" si="9"/>
        <v>47</v>
      </c>
      <c r="F29" s="50"/>
      <c r="G29" s="46">
        <f t="shared" si="10"/>
        <v>0</v>
      </c>
      <c r="H29" s="58">
        <f t="shared" si="11"/>
        <v>47</v>
      </c>
      <c r="I29" s="42">
        <f t="shared" si="2"/>
        <v>5</v>
      </c>
      <c r="J29" s="42">
        <f t="shared" si="12"/>
        <v>6</v>
      </c>
      <c r="K29" s="42" t="str">
        <f>VLOOKUP(H29,'GRADING SYSTEM'!$D$15:$F$23,3)</f>
        <v>LOW AVERAGE</v>
      </c>
    </row>
    <row r="30" spans="1:11" ht="18.75" x14ac:dyDescent="0.3">
      <c r="A30" s="55" t="str">
        <f>'Info List'!A29</f>
        <v>BHS9027</v>
      </c>
      <c r="B30" s="56" t="str">
        <f>'Info List'!B29</f>
        <v>GAKPETOR ISAIAH</v>
      </c>
      <c r="C30" s="57">
        <f>'Info List'!C29</f>
        <v>9</v>
      </c>
      <c r="D30" s="50">
        <v>95</v>
      </c>
      <c r="E30" s="46">
        <f t="shared" ref="E30:E32" si="13">0.5*D30</f>
        <v>47.5</v>
      </c>
      <c r="F30" s="50"/>
      <c r="G30" s="46">
        <f t="shared" ref="G30:G32" si="14">0.5*F30</f>
        <v>0</v>
      </c>
      <c r="H30" s="58">
        <f t="shared" ref="H30:H32" si="15">E30+G30</f>
        <v>47.5</v>
      </c>
      <c r="I30" s="42">
        <f t="shared" si="2"/>
        <v>4</v>
      </c>
      <c r="J30" s="42">
        <f t="shared" ref="J30:J32" si="16">IF(H30&gt;79.5, 1, IF(H30&gt;69.5, 2, IF(H30&gt;59.5, 3, IF(H30&gt;54.5, 4, IF(H30&gt;49.5, 5, IF(H30&gt;44.5, 6, IF(H30&gt;39.5, 7, IF(H30&gt;33.5, 8, IF(H30&gt;-1, 9)))))))))</f>
        <v>6</v>
      </c>
      <c r="K30" s="42" t="str">
        <f>VLOOKUP(H30,'GRADING SYSTEM'!$D$15:$F$23,3)</f>
        <v>LOW AVERAGE</v>
      </c>
    </row>
    <row r="31" spans="1:11" ht="18.75" x14ac:dyDescent="0.3">
      <c r="A31" s="55" t="str">
        <f>'Info List'!A30</f>
        <v>BHS9028</v>
      </c>
      <c r="B31" s="56" t="str">
        <f>'Info List'!B30</f>
        <v>SUDAIS ABDUL RAHMAN MUSA</v>
      </c>
      <c r="C31" s="57">
        <f>'Info List'!C30</f>
        <v>9</v>
      </c>
      <c r="D31" s="50">
        <v>96</v>
      </c>
      <c r="E31" s="46">
        <f t="shared" si="13"/>
        <v>48</v>
      </c>
      <c r="F31" s="50"/>
      <c r="G31" s="46">
        <f t="shared" si="14"/>
        <v>0</v>
      </c>
      <c r="H31" s="58">
        <f t="shared" si="15"/>
        <v>48</v>
      </c>
      <c r="I31" s="42">
        <f t="shared" si="2"/>
        <v>3</v>
      </c>
      <c r="J31" s="42">
        <f t="shared" si="16"/>
        <v>6</v>
      </c>
      <c r="K31" s="42" t="str">
        <f>VLOOKUP(H31,'GRADING SYSTEM'!$D$15:$F$23,3)</f>
        <v>LOW AVERAGE</v>
      </c>
    </row>
    <row r="32" spans="1:11" ht="18.75" x14ac:dyDescent="0.3">
      <c r="A32" s="55" t="str">
        <f>'Info List'!A31</f>
        <v>BHS9029</v>
      </c>
      <c r="B32" s="56" t="str">
        <f>'Info List'!B31</f>
        <v>YEVAKPOR SYLVIA EYRAM</v>
      </c>
      <c r="C32" s="57">
        <f>'Info List'!C31</f>
        <v>9</v>
      </c>
      <c r="D32" s="50">
        <v>97</v>
      </c>
      <c r="E32" s="46">
        <f t="shared" si="13"/>
        <v>48.5</v>
      </c>
      <c r="F32" s="50"/>
      <c r="G32" s="46">
        <f t="shared" si="14"/>
        <v>0</v>
      </c>
      <c r="H32" s="58">
        <f t="shared" si="15"/>
        <v>48.5</v>
      </c>
      <c r="I32" s="42">
        <f t="shared" si="2"/>
        <v>2</v>
      </c>
      <c r="J32" s="42">
        <f t="shared" si="16"/>
        <v>6</v>
      </c>
      <c r="K32" s="42" t="str">
        <f>VLOOKUP(H32,'GRADING SYSTEM'!$D$15:$F$23,3)</f>
        <v>LOW AVERAGE</v>
      </c>
    </row>
  </sheetData>
  <mergeCells count="6">
    <mergeCell ref="A1:K1"/>
    <mergeCell ref="B2:B3"/>
    <mergeCell ref="C2:C3"/>
    <mergeCell ref="I2:I3"/>
    <mergeCell ref="J2:J3"/>
    <mergeCell ref="K2:K3"/>
  </mergeCells>
  <dataValidations count="1">
    <dataValidation type="whole" allowBlank="1" showInputMessage="1" showErrorMessage="1" errorTitle="WRONG ENTRY" error="Enter marks from 0 to 100" sqref="G4:G32 F9:F32" xr:uid="{00000000-0002-0000-0200-000000000000}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FF0000"/>
  </sheetPr>
  <dimension ref="A1:K32"/>
  <sheetViews>
    <sheetView zoomScale="80" zoomScaleNormal="80" workbookViewId="0">
      <selection activeCell="D4" sqref="D4"/>
    </sheetView>
  </sheetViews>
  <sheetFormatPr defaultRowHeight="15" x14ac:dyDescent="0.25"/>
  <cols>
    <col min="1" max="1" width="14" customWidth="1"/>
    <col min="2" max="2" width="46.85546875" customWidth="1"/>
    <col min="3" max="3" width="10.140625" customWidth="1"/>
    <col min="5" max="6" width="12.7109375" customWidth="1"/>
    <col min="7" max="7" width="13.140625" customWidth="1"/>
    <col min="8" max="8" width="14.28515625" customWidth="1"/>
    <col min="9" max="9" width="10.5703125" customWidth="1"/>
    <col min="11" max="11" width="29" customWidth="1"/>
  </cols>
  <sheetData>
    <row r="1" spans="1:11" ht="33.75" x14ac:dyDescent="0.25">
      <c r="A1" s="90" t="s">
        <v>38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45" customHeight="1" x14ac:dyDescent="0.25">
      <c r="A2" s="17" t="s">
        <v>9</v>
      </c>
      <c r="B2" s="88" t="s">
        <v>2</v>
      </c>
      <c r="C2" s="88" t="s">
        <v>3</v>
      </c>
      <c r="D2" s="4" t="s">
        <v>10</v>
      </c>
      <c r="E2" s="45" t="s">
        <v>11</v>
      </c>
      <c r="F2" s="8" t="s">
        <v>57</v>
      </c>
      <c r="G2" s="45" t="s">
        <v>12</v>
      </c>
      <c r="H2" s="5" t="s">
        <v>14</v>
      </c>
      <c r="I2" s="88" t="s">
        <v>15</v>
      </c>
      <c r="J2" s="89" t="s">
        <v>16</v>
      </c>
      <c r="K2" s="88" t="s">
        <v>17</v>
      </c>
    </row>
    <row r="3" spans="1:11" ht="15" customHeight="1" x14ac:dyDescent="0.25">
      <c r="A3" s="17"/>
      <c r="B3" s="88"/>
      <c r="C3" s="88"/>
      <c r="D3" s="53">
        <v>1</v>
      </c>
      <c r="E3" s="53" t="s">
        <v>18</v>
      </c>
      <c r="F3" s="54">
        <v>1</v>
      </c>
      <c r="G3" s="53" t="s">
        <v>136</v>
      </c>
      <c r="H3" s="52" t="s">
        <v>137</v>
      </c>
      <c r="I3" s="88"/>
      <c r="J3" s="89"/>
      <c r="K3" s="88"/>
    </row>
    <row r="4" spans="1:11" ht="18.75" x14ac:dyDescent="0.25">
      <c r="A4" s="47" t="str">
        <f>'Info List'!A3</f>
        <v>BHS9001</v>
      </c>
      <c r="B4" s="48" t="str">
        <f>'Info List'!B3</f>
        <v>ABRAKWAH EVA OWUSUAA</v>
      </c>
      <c r="C4" s="49">
        <f>'Info List'!C3</f>
        <v>9</v>
      </c>
      <c r="D4" s="59">
        <v>80</v>
      </c>
      <c r="E4" s="32">
        <f>0.5*D4</f>
        <v>40</v>
      </c>
      <c r="F4" s="50">
        <v>90</v>
      </c>
      <c r="G4" s="32">
        <f>0.5*F4</f>
        <v>45</v>
      </c>
      <c r="H4" s="51">
        <f>E4+G4</f>
        <v>85</v>
      </c>
      <c r="I4" s="44">
        <f t="shared" ref="I4:I32" si="0">RANK(H4,$H$4:$H$32)</f>
        <v>1</v>
      </c>
      <c r="J4" s="44">
        <f>IF(H4&gt;79.5, 1, IF(H4&gt;69.5, 2, IF(H4&gt;59.5, 3, IF(H4&gt;54.5, 4, IF(H4&gt;49.5, 5, IF(H4&gt;44.5, 6, IF(H4&gt;39.5, 7, IF(H4&gt;33.5, 8, IF(H4&gt;-1, 9)))))))))</f>
        <v>1</v>
      </c>
      <c r="K4" s="44" t="str">
        <f>VLOOKUP(H4,'GRADING SYSTEM'!$D$15:$F$23,3)</f>
        <v>EXCELLENT</v>
      </c>
    </row>
    <row r="5" spans="1:11" ht="18.75" x14ac:dyDescent="0.25">
      <c r="A5" s="47" t="str">
        <f>'Info List'!A4</f>
        <v>BHS9002</v>
      </c>
      <c r="B5" s="48" t="str">
        <f>'Info List'!B4</f>
        <v>ADZILAFU EDWARD</v>
      </c>
      <c r="C5" s="49">
        <f>'Info List'!C4</f>
        <v>9</v>
      </c>
      <c r="D5" s="59">
        <v>70</v>
      </c>
      <c r="E5" s="32">
        <f t="shared" ref="E5:E23" si="1">0.5*D5</f>
        <v>35</v>
      </c>
      <c r="F5" s="50"/>
      <c r="G5" s="32">
        <f t="shared" ref="G5:G23" si="2">0.5*F5</f>
        <v>0</v>
      </c>
      <c r="H5" s="51">
        <f t="shared" ref="H5:H25" si="3">E5+G5</f>
        <v>35</v>
      </c>
      <c r="I5" s="44">
        <f t="shared" si="0"/>
        <v>29</v>
      </c>
      <c r="J5" s="44">
        <f t="shared" ref="J5:J23" si="4">IF(H5&gt;79.5, 1, IF(H5&gt;69.5, 2, IF(H5&gt;59.5, 3, IF(H5&gt;54.5, 4, IF(H5&gt;49.5, 5, IF(H5&gt;44.5, 6, IF(H5&gt;39.5, 7, IF(H5&gt;33.5, 8, IF(H5&gt;-1, 9)))))))))</f>
        <v>8</v>
      </c>
      <c r="K5" s="44" t="str">
        <f>VLOOKUP(H5,'GRADING SYSTEM'!$D$15:$F$23,3)</f>
        <v>WEAK PASS</v>
      </c>
    </row>
    <row r="6" spans="1:11" ht="18.75" x14ac:dyDescent="0.25">
      <c r="A6" s="47" t="str">
        <f>'Info List'!A5</f>
        <v>BHS9003</v>
      </c>
      <c r="B6" s="48" t="str">
        <f>'Info List'!B5</f>
        <v>AGYEPONG DASEBRE</v>
      </c>
      <c r="C6" s="49">
        <f>'Info List'!C5</f>
        <v>9</v>
      </c>
      <c r="D6" s="59">
        <v>71</v>
      </c>
      <c r="E6" s="32">
        <f t="shared" si="1"/>
        <v>35.5</v>
      </c>
      <c r="F6" s="50"/>
      <c r="G6" s="32">
        <f t="shared" si="2"/>
        <v>0</v>
      </c>
      <c r="H6" s="51">
        <f t="shared" si="3"/>
        <v>35.5</v>
      </c>
      <c r="I6" s="44">
        <f t="shared" si="0"/>
        <v>28</v>
      </c>
      <c r="J6" s="44">
        <f t="shared" si="4"/>
        <v>8</v>
      </c>
      <c r="K6" s="44" t="str">
        <f>VLOOKUP(H6,'GRADING SYSTEM'!$D$15:$F$23,3)</f>
        <v>WEAK PASS</v>
      </c>
    </row>
    <row r="7" spans="1:11" ht="18.75" x14ac:dyDescent="0.25">
      <c r="A7" s="47" t="str">
        <f>'Info List'!A6</f>
        <v>BHS9004</v>
      </c>
      <c r="B7" s="48" t="str">
        <f>'Info List'!B6</f>
        <v>ANIWA JOANA SEYRAM</v>
      </c>
      <c r="C7" s="49">
        <f>'Info List'!C6</f>
        <v>9</v>
      </c>
      <c r="D7" s="59">
        <v>72</v>
      </c>
      <c r="E7" s="32">
        <f t="shared" si="1"/>
        <v>36</v>
      </c>
      <c r="F7" s="50"/>
      <c r="G7" s="32">
        <f t="shared" si="2"/>
        <v>0</v>
      </c>
      <c r="H7" s="51">
        <f t="shared" si="3"/>
        <v>36</v>
      </c>
      <c r="I7" s="44">
        <f t="shared" si="0"/>
        <v>27</v>
      </c>
      <c r="J7" s="44">
        <f t="shared" si="4"/>
        <v>8</v>
      </c>
      <c r="K7" s="44" t="str">
        <f>VLOOKUP(H7,'GRADING SYSTEM'!$D$15:$F$23,3)</f>
        <v>WEAK PASS</v>
      </c>
    </row>
    <row r="8" spans="1:11" ht="18.75" x14ac:dyDescent="0.25">
      <c r="A8" s="47" t="str">
        <f>'Info List'!A7</f>
        <v>BHS9005</v>
      </c>
      <c r="B8" s="48" t="str">
        <f>'Info List'!B7</f>
        <v>ANNAN AGNES</v>
      </c>
      <c r="C8" s="49">
        <f>'Info List'!C7</f>
        <v>9</v>
      </c>
      <c r="D8" s="59">
        <v>73</v>
      </c>
      <c r="E8" s="32">
        <f t="shared" si="1"/>
        <v>36.5</v>
      </c>
      <c r="F8" s="50"/>
      <c r="G8" s="32">
        <f t="shared" si="2"/>
        <v>0</v>
      </c>
      <c r="H8" s="51">
        <f t="shared" si="3"/>
        <v>36.5</v>
      </c>
      <c r="I8" s="44">
        <f t="shared" si="0"/>
        <v>26</v>
      </c>
      <c r="J8" s="44">
        <f t="shared" si="4"/>
        <v>8</v>
      </c>
      <c r="K8" s="44" t="str">
        <f>VLOOKUP(H8,'GRADING SYSTEM'!$D$15:$F$23,3)</f>
        <v>WEAK PASS</v>
      </c>
    </row>
    <row r="9" spans="1:11" ht="18.75" x14ac:dyDescent="0.25">
      <c r="A9" s="47" t="str">
        <f>'Info List'!A8</f>
        <v>BHS9006</v>
      </c>
      <c r="B9" s="48" t="str">
        <f>'Info List'!B8</f>
        <v>ARTHUR LILLIAN ABENA</v>
      </c>
      <c r="C9" s="49">
        <f>'Info List'!C8</f>
        <v>9</v>
      </c>
      <c r="D9" s="59">
        <v>74</v>
      </c>
      <c r="E9" s="32">
        <f t="shared" si="1"/>
        <v>37</v>
      </c>
      <c r="F9" s="50"/>
      <c r="G9" s="32">
        <f t="shared" si="2"/>
        <v>0</v>
      </c>
      <c r="H9" s="51">
        <f t="shared" si="3"/>
        <v>37</v>
      </c>
      <c r="I9" s="44">
        <f t="shared" si="0"/>
        <v>25</v>
      </c>
      <c r="J9" s="44">
        <f t="shared" si="4"/>
        <v>8</v>
      </c>
      <c r="K9" s="44" t="str">
        <f>VLOOKUP(H9,'GRADING SYSTEM'!$D$15:$F$23,3)</f>
        <v>WEAK PASS</v>
      </c>
    </row>
    <row r="10" spans="1:11" ht="18.75" x14ac:dyDescent="0.25">
      <c r="A10" s="47" t="str">
        <f>'Info List'!A9</f>
        <v>BHS9007</v>
      </c>
      <c r="B10" s="48" t="str">
        <f>'Info List'!B9</f>
        <v>ASARE JACOB</v>
      </c>
      <c r="C10" s="49">
        <f>'Info List'!C9</f>
        <v>9</v>
      </c>
      <c r="D10" s="59">
        <v>75</v>
      </c>
      <c r="E10" s="32">
        <f t="shared" si="1"/>
        <v>37.5</v>
      </c>
      <c r="F10" s="50"/>
      <c r="G10" s="32">
        <f t="shared" si="2"/>
        <v>0</v>
      </c>
      <c r="H10" s="51">
        <f t="shared" si="3"/>
        <v>37.5</v>
      </c>
      <c r="I10" s="44">
        <f t="shared" si="0"/>
        <v>24</v>
      </c>
      <c r="J10" s="44">
        <f t="shared" si="4"/>
        <v>8</v>
      </c>
      <c r="K10" s="44" t="str">
        <f>VLOOKUP(H10,'GRADING SYSTEM'!$D$15:$F$23,3)</f>
        <v>WEAK PASS</v>
      </c>
    </row>
    <row r="11" spans="1:11" ht="18.75" x14ac:dyDescent="0.25">
      <c r="A11" s="47" t="str">
        <f>'Info List'!A10</f>
        <v>BHS9008</v>
      </c>
      <c r="B11" s="48" t="str">
        <f>'Info List'!B10</f>
        <v>BAAH JOSEPHINE KONADU</v>
      </c>
      <c r="C11" s="49">
        <f>'Info List'!C10</f>
        <v>9</v>
      </c>
      <c r="D11" s="59">
        <v>76</v>
      </c>
      <c r="E11" s="32">
        <f t="shared" si="1"/>
        <v>38</v>
      </c>
      <c r="F11" s="50"/>
      <c r="G11" s="32">
        <f t="shared" si="2"/>
        <v>0</v>
      </c>
      <c r="H11" s="51">
        <f t="shared" si="3"/>
        <v>38</v>
      </c>
      <c r="I11" s="44">
        <f t="shared" si="0"/>
        <v>23</v>
      </c>
      <c r="J11" s="44">
        <f t="shared" si="4"/>
        <v>8</v>
      </c>
      <c r="K11" s="44" t="str">
        <f>VLOOKUP(H11,'GRADING SYSTEM'!$D$15:$F$23,3)</f>
        <v>WEAK PASS</v>
      </c>
    </row>
    <row r="12" spans="1:11" ht="18.75" x14ac:dyDescent="0.25">
      <c r="A12" s="47" t="str">
        <f>'Info List'!A11</f>
        <v>BHS9009</v>
      </c>
      <c r="B12" s="48" t="str">
        <f>'Info List'!B11</f>
        <v>BAIDOO MIDRED</v>
      </c>
      <c r="C12" s="49">
        <f>'Info List'!C11</f>
        <v>9</v>
      </c>
      <c r="D12" s="59">
        <v>77</v>
      </c>
      <c r="E12" s="32">
        <f t="shared" si="1"/>
        <v>38.5</v>
      </c>
      <c r="F12" s="50"/>
      <c r="G12" s="32">
        <f t="shared" si="2"/>
        <v>0</v>
      </c>
      <c r="H12" s="51">
        <f t="shared" si="3"/>
        <v>38.5</v>
      </c>
      <c r="I12" s="44">
        <f t="shared" si="0"/>
        <v>22</v>
      </c>
      <c r="J12" s="44">
        <f t="shared" si="4"/>
        <v>8</v>
      </c>
      <c r="K12" s="44" t="str">
        <f>VLOOKUP(H12,'GRADING SYSTEM'!$D$15:$F$23,3)</f>
        <v>WEAK PASS</v>
      </c>
    </row>
    <row r="13" spans="1:11" ht="18.75" x14ac:dyDescent="0.25">
      <c r="A13" s="47" t="str">
        <f>'Info List'!A12</f>
        <v>BHS9010</v>
      </c>
      <c r="B13" s="48" t="str">
        <f>'Info List'!B12</f>
        <v>BOAKYE KELVIN OWUSU</v>
      </c>
      <c r="C13" s="49">
        <f>'Info List'!C12</f>
        <v>9</v>
      </c>
      <c r="D13" s="59">
        <v>78</v>
      </c>
      <c r="E13" s="32">
        <f t="shared" si="1"/>
        <v>39</v>
      </c>
      <c r="F13" s="50"/>
      <c r="G13" s="32">
        <f t="shared" si="2"/>
        <v>0</v>
      </c>
      <c r="H13" s="51">
        <f t="shared" si="3"/>
        <v>39</v>
      </c>
      <c r="I13" s="44">
        <f t="shared" si="0"/>
        <v>21</v>
      </c>
      <c r="J13" s="44">
        <f t="shared" si="4"/>
        <v>8</v>
      </c>
      <c r="K13" s="44" t="str">
        <f>VLOOKUP(H13,'GRADING SYSTEM'!$D$15:$F$23,3)</f>
        <v>WEAK PASS</v>
      </c>
    </row>
    <row r="14" spans="1:11" ht="18.75" x14ac:dyDescent="0.25">
      <c r="A14" s="47" t="str">
        <f>'Info List'!A13</f>
        <v>BHS9011</v>
      </c>
      <c r="B14" s="48" t="str">
        <f>'Info List'!B13</f>
        <v>BOATENG NICHOLAS KELVIN</v>
      </c>
      <c r="C14" s="49">
        <f>'Info List'!C13</f>
        <v>9</v>
      </c>
      <c r="D14" s="59">
        <v>79</v>
      </c>
      <c r="E14" s="32">
        <f t="shared" si="1"/>
        <v>39.5</v>
      </c>
      <c r="F14" s="50"/>
      <c r="G14" s="32">
        <f t="shared" si="2"/>
        <v>0</v>
      </c>
      <c r="H14" s="51">
        <f t="shared" si="3"/>
        <v>39.5</v>
      </c>
      <c r="I14" s="44">
        <f t="shared" si="0"/>
        <v>20</v>
      </c>
      <c r="J14" s="44">
        <f t="shared" si="4"/>
        <v>8</v>
      </c>
      <c r="K14" s="44" t="str">
        <f>VLOOKUP(H14,'GRADING SYSTEM'!$D$15:$F$23,3)</f>
        <v>WEAK PASS</v>
      </c>
    </row>
    <row r="15" spans="1:11" ht="18.75" x14ac:dyDescent="0.25">
      <c r="A15" s="47" t="str">
        <f>'Info List'!A14</f>
        <v>BHS9012</v>
      </c>
      <c r="B15" s="48" t="str">
        <f>'Info List'!B14</f>
        <v>CHARKITEY JOSEPH TETTEY EMEKOH</v>
      </c>
      <c r="C15" s="49">
        <f>'Info List'!C14</f>
        <v>9</v>
      </c>
      <c r="D15" s="59">
        <v>80</v>
      </c>
      <c r="E15" s="32">
        <f t="shared" si="1"/>
        <v>40</v>
      </c>
      <c r="F15" s="50"/>
      <c r="G15" s="32">
        <f t="shared" si="2"/>
        <v>0</v>
      </c>
      <c r="H15" s="51">
        <f t="shared" si="3"/>
        <v>40</v>
      </c>
      <c r="I15" s="44">
        <f t="shared" si="0"/>
        <v>19</v>
      </c>
      <c r="J15" s="44">
        <f t="shared" si="4"/>
        <v>7</v>
      </c>
      <c r="K15" s="44" t="str">
        <f>VLOOKUP(H15,'GRADING SYSTEM'!$D$15:$F$23,3)</f>
        <v>PASS</v>
      </c>
    </row>
    <row r="16" spans="1:11" ht="18.75" x14ac:dyDescent="0.25">
      <c r="A16" s="47" t="str">
        <f>'Info List'!A15</f>
        <v>BHS9013</v>
      </c>
      <c r="B16" s="48" t="str">
        <f>'Info List'!B15</f>
        <v>DANKWAH AMA JANEL</v>
      </c>
      <c r="C16" s="49">
        <f>'Info List'!C15</f>
        <v>9</v>
      </c>
      <c r="D16" s="59">
        <v>81</v>
      </c>
      <c r="E16" s="32">
        <f t="shared" si="1"/>
        <v>40.5</v>
      </c>
      <c r="F16" s="50"/>
      <c r="G16" s="32">
        <f t="shared" si="2"/>
        <v>0</v>
      </c>
      <c r="H16" s="51">
        <f t="shared" si="3"/>
        <v>40.5</v>
      </c>
      <c r="I16" s="44">
        <f t="shared" si="0"/>
        <v>18</v>
      </c>
      <c r="J16" s="44">
        <f t="shared" si="4"/>
        <v>7</v>
      </c>
      <c r="K16" s="44" t="str">
        <f>VLOOKUP(H16,'GRADING SYSTEM'!$D$15:$F$23,3)</f>
        <v>PASS</v>
      </c>
    </row>
    <row r="17" spans="1:11" ht="18.75" x14ac:dyDescent="0.25">
      <c r="A17" s="47" t="str">
        <f>'Info List'!A16</f>
        <v>BHS9014</v>
      </c>
      <c r="B17" s="48" t="str">
        <f>'Info List'!B16</f>
        <v>DANKWAH SHANTEL</v>
      </c>
      <c r="C17" s="49">
        <f>'Info List'!C16</f>
        <v>9</v>
      </c>
      <c r="D17" s="59">
        <v>82</v>
      </c>
      <c r="E17" s="32">
        <f t="shared" si="1"/>
        <v>41</v>
      </c>
      <c r="F17" s="50"/>
      <c r="G17" s="32">
        <f t="shared" si="2"/>
        <v>0</v>
      </c>
      <c r="H17" s="51">
        <f t="shared" si="3"/>
        <v>41</v>
      </c>
      <c r="I17" s="44">
        <f t="shared" si="0"/>
        <v>17</v>
      </c>
      <c r="J17" s="44">
        <f t="shared" si="4"/>
        <v>7</v>
      </c>
      <c r="K17" s="44" t="str">
        <f>VLOOKUP(H17,'GRADING SYSTEM'!$D$15:$F$23,3)</f>
        <v>PASS</v>
      </c>
    </row>
    <row r="18" spans="1:11" ht="18.75" x14ac:dyDescent="0.25">
      <c r="A18" s="47" t="str">
        <f>'Info List'!A17</f>
        <v>BHS9015</v>
      </c>
      <c r="B18" s="48" t="str">
        <f>'Info List'!B17</f>
        <v>ESSILFIE ENOCH</v>
      </c>
      <c r="C18" s="49">
        <f>'Info List'!C17</f>
        <v>9</v>
      </c>
      <c r="D18" s="59">
        <v>83</v>
      </c>
      <c r="E18" s="32">
        <f t="shared" si="1"/>
        <v>41.5</v>
      </c>
      <c r="F18" s="50"/>
      <c r="G18" s="32">
        <f t="shared" si="2"/>
        <v>0</v>
      </c>
      <c r="H18" s="51">
        <f t="shared" si="3"/>
        <v>41.5</v>
      </c>
      <c r="I18" s="44">
        <f t="shared" si="0"/>
        <v>16</v>
      </c>
      <c r="J18" s="44">
        <f t="shared" si="4"/>
        <v>7</v>
      </c>
      <c r="K18" s="44" t="str">
        <f>VLOOKUP(H18,'GRADING SYSTEM'!$D$15:$F$23,3)</f>
        <v>PASS</v>
      </c>
    </row>
    <row r="19" spans="1:11" ht="18.75" x14ac:dyDescent="0.25">
      <c r="A19" s="47" t="str">
        <f>'Info List'!A18</f>
        <v>BHS9016</v>
      </c>
      <c r="B19" s="48" t="str">
        <f>'Info List'!B18</f>
        <v>GANDAA LINDA</v>
      </c>
      <c r="C19" s="49">
        <f>'Info List'!C18</f>
        <v>9</v>
      </c>
      <c r="D19" s="59">
        <v>84</v>
      </c>
      <c r="E19" s="32">
        <f t="shared" si="1"/>
        <v>42</v>
      </c>
      <c r="F19" s="50"/>
      <c r="G19" s="32">
        <f t="shared" si="2"/>
        <v>0</v>
      </c>
      <c r="H19" s="51">
        <f t="shared" si="3"/>
        <v>42</v>
      </c>
      <c r="I19" s="44">
        <f t="shared" si="0"/>
        <v>15</v>
      </c>
      <c r="J19" s="44">
        <f t="shared" si="4"/>
        <v>7</v>
      </c>
      <c r="K19" s="44" t="str">
        <f>VLOOKUP(H19,'GRADING SYSTEM'!$D$15:$F$23,3)</f>
        <v>PASS</v>
      </c>
    </row>
    <row r="20" spans="1:11" ht="18.75" x14ac:dyDescent="0.25">
      <c r="A20" s="47" t="str">
        <f>'Info List'!A19</f>
        <v>BHS9017</v>
      </c>
      <c r="B20" s="48" t="str">
        <f>'Info List'!B19</f>
        <v>GEORGINA DUSHIE QUEENSTAR</v>
      </c>
      <c r="C20" s="49">
        <f>'Info List'!C19</f>
        <v>9</v>
      </c>
      <c r="D20" s="59">
        <v>85</v>
      </c>
      <c r="E20" s="32">
        <f t="shared" si="1"/>
        <v>42.5</v>
      </c>
      <c r="F20" s="50"/>
      <c r="G20" s="32">
        <f t="shared" si="2"/>
        <v>0</v>
      </c>
      <c r="H20" s="51">
        <f t="shared" si="3"/>
        <v>42.5</v>
      </c>
      <c r="I20" s="44">
        <f t="shared" si="0"/>
        <v>14</v>
      </c>
      <c r="J20" s="44">
        <f t="shared" si="4"/>
        <v>7</v>
      </c>
      <c r="K20" s="44" t="str">
        <f>VLOOKUP(H20,'GRADING SYSTEM'!$D$15:$F$23,3)</f>
        <v>PASS</v>
      </c>
    </row>
    <row r="21" spans="1:11" ht="18.75" x14ac:dyDescent="0.25">
      <c r="A21" s="47" t="str">
        <f>'Info List'!A20</f>
        <v>BHS9018</v>
      </c>
      <c r="B21" s="48" t="str">
        <f>'Info List'!B20</f>
        <v>GYAKYE AMPONSAH EKUA</v>
      </c>
      <c r="C21" s="49">
        <f>'Info List'!C20</f>
        <v>9</v>
      </c>
      <c r="D21" s="59">
        <v>86</v>
      </c>
      <c r="E21" s="32">
        <f t="shared" si="1"/>
        <v>43</v>
      </c>
      <c r="F21" s="50"/>
      <c r="G21" s="32">
        <f t="shared" si="2"/>
        <v>0</v>
      </c>
      <c r="H21" s="51">
        <f t="shared" si="3"/>
        <v>43</v>
      </c>
      <c r="I21" s="44">
        <f t="shared" si="0"/>
        <v>13</v>
      </c>
      <c r="J21" s="44">
        <f t="shared" si="4"/>
        <v>7</v>
      </c>
      <c r="K21" s="44" t="str">
        <f>VLOOKUP(H21,'GRADING SYSTEM'!$D$15:$F$23,3)</f>
        <v>PASS</v>
      </c>
    </row>
    <row r="22" spans="1:11" ht="18.75" x14ac:dyDescent="0.25">
      <c r="A22" s="47" t="str">
        <f>'Info List'!A21</f>
        <v>BHS9019</v>
      </c>
      <c r="B22" s="48" t="str">
        <f>'Info List'!B21</f>
        <v>MENSAH GLORIA KUSI</v>
      </c>
      <c r="C22" s="49">
        <f>'Info List'!C21</f>
        <v>9</v>
      </c>
      <c r="D22" s="59">
        <v>87</v>
      </c>
      <c r="E22" s="32">
        <f t="shared" si="1"/>
        <v>43.5</v>
      </c>
      <c r="F22" s="50"/>
      <c r="G22" s="32">
        <f t="shared" si="2"/>
        <v>0</v>
      </c>
      <c r="H22" s="51">
        <f t="shared" si="3"/>
        <v>43.5</v>
      </c>
      <c r="I22" s="44">
        <f t="shared" si="0"/>
        <v>12</v>
      </c>
      <c r="J22" s="44">
        <f t="shared" si="4"/>
        <v>7</v>
      </c>
      <c r="K22" s="44" t="str">
        <f>VLOOKUP(H22,'GRADING SYSTEM'!$D$15:$F$23,3)</f>
        <v>PASS</v>
      </c>
    </row>
    <row r="23" spans="1:11" ht="18.75" x14ac:dyDescent="0.25">
      <c r="A23" s="47" t="str">
        <f>'Info List'!A22</f>
        <v>BHS9020</v>
      </c>
      <c r="B23" s="48" t="str">
        <f>'Info List'!B22</f>
        <v>MENSAH KWASI BLESS</v>
      </c>
      <c r="C23" s="49">
        <f>'Info List'!C22</f>
        <v>9</v>
      </c>
      <c r="D23" s="59">
        <v>88</v>
      </c>
      <c r="E23" s="32">
        <f t="shared" si="1"/>
        <v>44</v>
      </c>
      <c r="F23" s="50"/>
      <c r="G23" s="32">
        <f t="shared" si="2"/>
        <v>0</v>
      </c>
      <c r="H23" s="51">
        <f t="shared" si="3"/>
        <v>44</v>
      </c>
      <c r="I23" s="44">
        <f t="shared" si="0"/>
        <v>11</v>
      </c>
      <c r="J23" s="44">
        <f t="shared" si="4"/>
        <v>7</v>
      </c>
      <c r="K23" s="44" t="str">
        <f>VLOOKUP(H23,'GRADING SYSTEM'!$D$15:$F$23,3)</f>
        <v>PASS</v>
      </c>
    </row>
    <row r="24" spans="1:11" ht="18.75" x14ac:dyDescent="0.25">
      <c r="A24" s="47" t="str">
        <f>'Info List'!A23</f>
        <v>BHS9021</v>
      </c>
      <c r="B24" s="48" t="str">
        <f>'Info List'!B23</f>
        <v>MENSAH SHADRACK</v>
      </c>
      <c r="C24" s="49">
        <f>'Info List'!C23</f>
        <v>9</v>
      </c>
      <c r="D24" s="59">
        <v>89</v>
      </c>
      <c r="E24" s="32">
        <f t="shared" ref="E24:E25" si="5">0.5*D24</f>
        <v>44.5</v>
      </c>
      <c r="F24" s="50"/>
      <c r="G24" s="32">
        <f t="shared" ref="G24:G25" si="6">0.5*F24</f>
        <v>0</v>
      </c>
      <c r="H24" s="51">
        <f t="shared" si="3"/>
        <v>44.5</v>
      </c>
      <c r="I24" s="44">
        <f t="shared" si="0"/>
        <v>10</v>
      </c>
      <c r="J24" s="44">
        <f t="shared" ref="J24:J25" si="7">IF(H24&gt;79.5, 1, IF(H24&gt;69.5, 2, IF(H24&gt;59.5, 3, IF(H24&gt;54.5, 4, IF(H24&gt;49.5, 5, IF(H24&gt;44.5, 6, IF(H24&gt;39.5, 7, IF(H24&gt;33.5, 8, IF(H24&gt;-1, 9)))))))))</f>
        <v>7</v>
      </c>
      <c r="K24" s="44" t="str">
        <f>VLOOKUP(H24,'GRADING SYSTEM'!$D$15:$F$23,3)</f>
        <v>PASS</v>
      </c>
    </row>
    <row r="25" spans="1:11" ht="18.75" x14ac:dyDescent="0.25">
      <c r="A25" s="47" t="str">
        <f>'Info List'!A24</f>
        <v>BHS9022</v>
      </c>
      <c r="B25" s="48" t="str">
        <f>'Info List'!B24</f>
        <v>OFORI RODLYNE NANA ADOMA</v>
      </c>
      <c r="C25" s="49">
        <f>'Info List'!C24</f>
        <v>9</v>
      </c>
      <c r="D25" s="59">
        <v>90</v>
      </c>
      <c r="E25" s="32">
        <f t="shared" si="5"/>
        <v>45</v>
      </c>
      <c r="F25" s="50"/>
      <c r="G25" s="32">
        <f t="shared" si="6"/>
        <v>0</v>
      </c>
      <c r="H25" s="51">
        <f t="shared" si="3"/>
        <v>45</v>
      </c>
      <c r="I25" s="44">
        <f t="shared" si="0"/>
        <v>9</v>
      </c>
      <c r="J25" s="44">
        <f t="shared" si="7"/>
        <v>6</v>
      </c>
      <c r="K25" s="44" t="str">
        <f>VLOOKUP(H25,'GRADING SYSTEM'!$D$15:$F$23,3)</f>
        <v>LOW AVERAGE</v>
      </c>
    </row>
    <row r="26" spans="1:11" ht="18.75" x14ac:dyDescent="0.25">
      <c r="A26" s="47" t="str">
        <f>'Info List'!A25</f>
        <v>BHS9023</v>
      </c>
      <c r="B26" s="48" t="str">
        <f>'Info List'!B25</f>
        <v>OPOKU JOEL ODURO SARPONG</v>
      </c>
      <c r="C26" s="49">
        <f>'Info List'!C25</f>
        <v>9</v>
      </c>
      <c r="D26" s="59">
        <v>91</v>
      </c>
      <c r="E26" s="32">
        <f t="shared" ref="E26:E29" si="8">0.5*D26</f>
        <v>45.5</v>
      </c>
      <c r="F26" s="50"/>
      <c r="G26" s="32">
        <f t="shared" ref="G26:G29" si="9">0.5*F26</f>
        <v>0</v>
      </c>
      <c r="H26" s="51">
        <f t="shared" ref="H26:H29" si="10">E26+G26</f>
        <v>45.5</v>
      </c>
      <c r="I26" s="44">
        <f t="shared" si="0"/>
        <v>8</v>
      </c>
      <c r="J26" s="44">
        <f t="shared" ref="J26:J29" si="11">IF(H26&gt;79.5, 1, IF(H26&gt;69.5, 2, IF(H26&gt;59.5, 3, IF(H26&gt;54.5, 4, IF(H26&gt;49.5, 5, IF(H26&gt;44.5, 6, IF(H26&gt;39.5, 7, IF(H26&gt;33.5, 8, IF(H26&gt;-1, 9)))))))))</f>
        <v>6</v>
      </c>
      <c r="K26" s="44" t="str">
        <f>VLOOKUP(H26,'GRADING SYSTEM'!$D$15:$F$23,3)</f>
        <v>LOW AVERAGE</v>
      </c>
    </row>
    <row r="27" spans="1:11" ht="18.75" x14ac:dyDescent="0.25">
      <c r="A27" s="47" t="str">
        <f>'Info List'!A26</f>
        <v>BHS9024</v>
      </c>
      <c r="B27" s="48" t="str">
        <f>'Info List'!B26</f>
        <v>OPPONG NHYIRABA</v>
      </c>
      <c r="C27" s="49">
        <f>'Info List'!C26</f>
        <v>9</v>
      </c>
      <c r="D27" s="59">
        <v>92</v>
      </c>
      <c r="E27" s="32">
        <f t="shared" si="8"/>
        <v>46</v>
      </c>
      <c r="F27" s="50"/>
      <c r="G27" s="32">
        <f t="shared" si="9"/>
        <v>0</v>
      </c>
      <c r="H27" s="51">
        <f t="shared" si="10"/>
        <v>46</v>
      </c>
      <c r="I27" s="44">
        <f t="shared" si="0"/>
        <v>7</v>
      </c>
      <c r="J27" s="44">
        <f t="shared" si="11"/>
        <v>6</v>
      </c>
      <c r="K27" s="44" t="str">
        <f>VLOOKUP(H27,'GRADING SYSTEM'!$D$15:$F$23,3)</f>
        <v>LOW AVERAGE</v>
      </c>
    </row>
    <row r="28" spans="1:11" ht="18.75" x14ac:dyDescent="0.25">
      <c r="A28" s="47" t="str">
        <f>'Info List'!A27</f>
        <v>BHS9025</v>
      </c>
      <c r="B28" s="48" t="str">
        <f>'Info List'!B27</f>
        <v>OPPONG NYAMEBA YAA</v>
      </c>
      <c r="C28" s="49">
        <f>'Info List'!C27</f>
        <v>9</v>
      </c>
      <c r="D28" s="59">
        <v>93</v>
      </c>
      <c r="E28" s="32">
        <f t="shared" si="8"/>
        <v>46.5</v>
      </c>
      <c r="F28" s="50"/>
      <c r="G28" s="32">
        <f t="shared" si="9"/>
        <v>0</v>
      </c>
      <c r="H28" s="51">
        <f t="shared" si="10"/>
        <v>46.5</v>
      </c>
      <c r="I28" s="44">
        <f t="shared" si="0"/>
        <v>6</v>
      </c>
      <c r="J28" s="44">
        <f t="shared" si="11"/>
        <v>6</v>
      </c>
      <c r="K28" s="44" t="str">
        <f>VLOOKUP(H28,'GRADING SYSTEM'!$D$15:$F$23,3)</f>
        <v>LOW AVERAGE</v>
      </c>
    </row>
    <row r="29" spans="1:11" ht="18.75" x14ac:dyDescent="0.25">
      <c r="A29" s="47" t="str">
        <f>'Info List'!A28</f>
        <v>BHS9026</v>
      </c>
      <c r="B29" s="48" t="str">
        <f>'Info List'!B28</f>
        <v>QUARCOO JESSICA</v>
      </c>
      <c r="C29" s="49">
        <f>'Info List'!C28</f>
        <v>9</v>
      </c>
      <c r="D29" s="59">
        <v>94</v>
      </c>
      <c r="E29" s="32">
        <f t="shared" si="8"/>
        <v>47</v>
      </c>
      <c r="F29" s="50"/>
      <c r="G29" s="32">
        <f t="shared" si="9"/>
        <v>0</v>
      </c>
      <c r="H29" s="51">
        <f t="shared" si="10"/>
        <v>47</v>
      </c>
      <c r="I29" s="44">
        <f t="shared" si="0"/>
        <v>5</v>
      </c>
      <c r="J29" s="44">
        <f t="shared" si="11"/>
        <v>6</v>
      </c>
      <c r="K29" s="44" t="str">
        <f>VLOOKUP(H29,'GRADING SYSTEM'!$D$15:$F$23,3)</f>
        <v>LOW AVERAGE</v>
      </c>
    </row>
    <row r="30" spans="1:11" ht="18.75" x14ac:dyDescent="0.25">
      <c r="A30" s="47" t="str">
        <f>'Info List'!A29</f>
        <v>BHS9027</v>
      </c>
      <c r="B30" s="48" t="str">
        <f>'Info List'!B29</f>
        <v>GAKPETOR ISAIAH</v>
      </c>
      <c r="C30" s="49">
        <f>'Info List'!C29</f>
        <v>9</v>
      </c>
      <c r="D30" s="59">
        <v>95</v>
      </c>
      <c r="E30" s="32">
        <f t="shared" ref="E30:E32" si="12">0.5*D30</f>
        <v>47.5</v>
      </c>
      <c r="F30" s="50"/>
      <c r="G30" s="32">
        <f t="shared" ref="G30:G32" si="13">0.5*F30</f>
        <v>0</v>
      </c>
      <c r="H30" s="51">
        <f t="shared" ref="H30:H32" si="14">E30+G30</f>
        <v>47.5</v>
      </c>
      <c r="I30" s="44">
        <f t="shared" si="0"/>
        <v>4</v>
      </c>
      <c r="J30" s="44">
        <f t="shared" ref="J30:J32" si="15">IF(H30&gt;79.5, 1, IF(H30&gt;69.5, 2, IF(H30&gt;59.5, 3, IF(H30&gt;54.5, 4, IF(H30&gt;49.5, 5, IF(H30&gt;44.5, 6, IF(H30&gt;39.5, 7, IF(H30&gt;33.5, 8, IF(H30&gt;-1, 9)))))))))</f>
        <v>6</v>
      </c>
      <c r="K30" s="44" t="str">
        <f>VLOOKUP(H30,'GRADING SYSTEM'!$D$15:$F$23,3)</f>
        <v>LOW AVERAGE</v>
      </c>
    </row>
    <row r="31" spans="1:11" ht="18.75" x14ac:dyDescent="0.25">
      <c r="A31" s="47" t="str">
        <f>'Info List'!A30</f>
        <v>BHS9028</v>
      </c>
      <c r="B31" s="48" t="str">
        <f>'Info List'!B30</f>
        <v>SUDAIS ABDUL RAHMAN MUSA</v>
      </c>
      <c r="C31" s="49">
        <f>'Info List'!C30</f>
        <v>9</v>
      </c>
      <c r="D31" s="59">
        <v>96</v>
      </c>
      <c r="E31" s="32">
        <f t="shared" si="12"/>
        <v>48</v>
      </c>
      <c r="F31" s="50"/>
      <c r="G31" s="32">
        <f t="shared" si="13"/>
        <v>0</v>
      </c>
      <c r="H31" s="51">
        <f t="shared" si="14"/>
        <v>48</v>
      </c>
      <c r="I31" s="44">
        <f t="shared" si="0"/>
        <v>3</v>
      </c>
      <c r="J31" s="44">
        <f t="shared" si="15"/>
        <v>6</v>
      </c>
      <c r="K31" s="44" t="str">
        <f>VLOOKUP(H31,'GRADING SYSTEM'!$D$15:$F$23,3)</f>
        <v>LOW AVERAGE</v>
      </c>
    </row>
    <row r="32" spans="1:11" ht="18.75" x14ac:dyDescent="0.25">
      <c r="A32" s="47" t="str">
        <f>'Info List'!A31</f>
        <v>BHS9029</v>
      </c>
      <c r="B32" s="48" t="str">
        <f>'Info List'!B31</f>
        <v>YEVAKPOR SYLVIA EYRAM</v>
      </c>
      <c r="C32" s="49">
        <f>'Info List'!C31</f>
        <v>9</v>
      </c>
      <c r="D32" s="59">
        <v>97</v>
      </c>
      <c r="E32" s="32">
        <f t="shared" si="12"/>
        <v>48.5</v>
      </c>
      <c r="F32" s="50"/>
      <c r="G32" s="32">
        <f t="shared" si="13"/>
        <v>0</v>
      </c>
      <c r="H32" s="51">
        <f t="shared" si="14"/>
        <v>48.5</v>
      </c>
      <c r="I32" s="44">
        <f t="shared" si="0"/>
        <v>2</v>
      </c>
      <c r="J32" s="44">
        <f t="shared" si="15"/>
        <v>6</v>
      </c>
      <c r="K32" s="44" t="str">
        <f>VLOOKUP(H32,'GRADING SYSTEM'!$D$15:$F$23,3)</f>
        <v>LOW AVERAGE</v>
      </c>
    </row>
  </sheetData>
  <mergeCells count="6">
    <mergeCell ref="A1:K1"/>
    <mergeCell ref="B2:B3"/>
    <mergeCell ref="C2:C3"/>
    <mergeCell ref="I2:I3"/>
    <mergeCell ref="J2:J3"/>
    <mergeCell ref="K2:K3"/>
  </mergeCells>
  <dataValidations count="1">
    <dataValidation type="whole" allowBlank="1" showInputMessage="1" showErrorMessage="1" errorTitle="WRONG ENTRY" error="Enter marks from 0 to 100" sqref="G4:G32" xr:uid="{00000000-0002-0000-0300-000000000000}">
      <formula1>0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8" tint="-0.499984740745262"/>
  </sheetPr>
  <dimension ref="A1:K32"/>
  <sheetViews>
    <sheetView topLeftCell="A2" zoomScale="90" zoomScaleNormal="90" workbookViewId="0">
      <selection activeCell="F6" sqref="F6"/>
    </sheetView>
  </sheetViews>
  <sheetFormatPr defaultRowHeight="15" x14ac:dyDescent="0.25"/>
  <cols>
    <col min="1" max="1" width="12.7109375" customWidth="1"/>
    <col min="2" max="2" width="49.28515625" customWidth="1"/>
    <col min="3" max="3" width="10.140625" customWidth="1"/>
    <col min="5" max="6" width="12.7109375" customWidth="1"/>
    <col min="7" max="7" width="13.140625" customWidth="1"/>
    <col min="8" max="8" width="14.28515625" customWidth="1"/>
    <col min="9" max="9" width="10.5703125" customWidth="1"/>
    <col min="11" max="11" width="29" customWidth="1"/>
  </cols>
  <sheetData>
    <row r="1" spans="1:11" ht="33.75" x14ac:dyDescent="0.25">
      <c r="A1" s="90" t="s">
        <v>39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45" customHeight="1" x14ac:dyDescent="0.25">
      <c r="A2" s="17" t="s">
        <v>9</v>
      </c>
      <c r="B2" s="88" t="s">
        <v>2</v>
      </c>
      <c r="C2" s="88" t="s">
        <v>3</v>
      </c>
      <c r="D2" s="4" t="s">
        <v>10</v>
      </c>
      <c r="E2" s="45" t="s">
        <v>11</v>
      </c>
      <c r="F2" s="8" t="s">
        <v>57</v>
      </c>
      <c r="G2" s="45" t="s">
        <v>12</v>
      </c>
      <c r="H2" s="5" t="s">
        <v>14</v>
      </c>
      <c r="I2" s="88" t="s">
        <v>15</v>
      </c>
      <c r="J2" s="89" t="s">
        <v>16</v>
      </c>
      <c r="K2" s="88" t="s">
        <v>17</v>
      </c>
    </row>
    <row r="3" spans="1:11" ht="15" customHeight="1" x14ac:dyDescent="0.25">
      <c r="A3" s="17"/>
      <c r="B3" s="88"/>
      <c r="C3" s="88"/>
      <c r="D3" s="53">
        <v>1</v>
      </c>
      <c r="E3" s="53" t="s">
        <v>18</v>
      </c>
      <c r="F3" s="54">
        <v>1</v>
      </c>
      <c r="G3" s="53" t="s">
        <v>136</v>
      </c>
      <c r="H3" s="52" t="s">
        <v>137</v>
      </c>
      <c r="I3" s="88"/>
      <c r="J3" s="89"/>
      <c r="K3" s="88"/>
    </row>
    <row r="4" spans="1:11" ht="18.75" x14ac:dyDescent="0.25">
      <c r="A4" s="47" t="str">
        <f>'Info List'!A3</f>
        <v>BHS9001</v>
      </c>
      <c r="B4" s="48" t="str">
        <f>'Info List'!B3</f>
        <v>ABRAKWAH EVA OWUSUAA</v>
      </c>
      <c r="C4" s="49">
        <f>'Info List'!C3</f>
        <v>9</v>
      </c>
      <c r="D4" s="50">
        <v>86</v>
      </c>
      <c r="E4" s="32">
        <f>0.5*D4</f>
        <v>43</v>
      </c>
      <c r="F4" s="50">
        <v>81</v>
      </c>
      <c r="G4" s="32">
        <f>0.5*F4</f>
        <v>40.5</v>
      </c>
      <c r="H4" s="51">
        <f>E4+G4</f>
        <v>83.5</v>
      </c>
      <c r="I4" s="44">
        <f t="shared" ref="I4:I32" si="0">RANK(H4,$H$4:$H$32)</f>
        <v>1</v>
      </c>
      <c r="J4" s="44">
        <f>IF(H4&gt;79.5, 1, IF(H4&gt;69.5, 2, IF(H4&gt;59.5, 3, IF(H4&gt;54.5, 4, IF(H4&gt;49.5, 5, IF(H4&gt;44.5, 6, IF(H4&gt;39.5, 7, IF(H4&gt;33.5, 8, IF(H4&gt;-1, 9)))))))))</f>
        <v>1</v>
      </c>
      <c r="K4" s="44" t="str">
        <f>VLOOKUP(H4,'GRADING SYSTEM'!$D$15:$F$23,3)</f>
        <v>EXCELLENT</v>
      </c>
    </row>
    <row r="5" spans="1:11" ht="18.75" x14ac:dyDescent="0.25">
      <c r="A5" s="47" t="str">
        <f>'Info List'!A4</f>
        <v>BHS9002</v>
      </c>
      <c r="B5" s="48" t="str">
        <f>'Info List'!B4</f>
        <v>ADZILAFU EDWARD</v>
      </c>
      <c r="C5" s="49">
        <f>'Info List'!C4</f>
        <v>9</v>
      </c>
      <c r="D5" s="50">
        <v>70</v>
      </c>
      <c r="E5" s="32">
        <f t="shared" ref="E5:E23" si="1">0.5*D5</f>
        <v>35</v>
      </c>
      <c r="F5" s="50"/>
      <c r="G5" s="32">
        <f t="shared" ref="G5:G23" si="2">0.5*F5</f>
        <v>0</v>
      </c>
      <c r="H5" s="51">
        <f t="shared" ref="H5:H23" si="3">E5+G5</f>
        <v>35</v>
      </c>
      <c r="I5" s="44">
        <f t="shared" si="0"/>
        <v>29</v>
      </c>
      <c r="J5" s="44">
        <f t="shared" ref="J5:J23" si="4">IF(H5&gt;79.5, 1, IF(H5&gt;69.5, 2, IF(H5&gt;59.5, 3, IF(H5&gt;54.5, 4, IF(H5&gt;49.5, 5, IF(H5&gt;44.5, 6, IF(H5&gt;39.5, 7, IF(H5&gt;33.5, 8, IF(H5&gt;-1, 9)))))))))</f>
        <v>8</v>
      </c>
      <c r="K5" s="44" t="str">
        <f>VLOOKUP(H5,'GRADING SYSTEM'!$D$15:$F$23,3)</f>
        <v>WEAK PASS</v>
      </c>
    </row>
    <row r="6" spans="1:11" ht="18.75" x14ac:dyDescent="0.25">
      <c r="A6" s="47" t="str">
        <f>'Info List'!A5</f>
        <v>BHS9003</v>
      </c>
      <c r="B6" s="48" t="str">
        <f>'Info List'!B5</f>
        <v>AGYEPONG DASEBRE</v>
      </c>
      <c r="C6" s="49">
        <f>'Info List'!C5</f>
        <v>9</v>
      </c>
      <c r="D6" s="50">
        <v>71</v>
      </c>
      <c r="E6" s="32">
        <f t="shared" si="1"/>
        <v>35.5</v>
      </c>
      <c r="F6" s="50"/>
      <c r="G6" s="32">
        <f t="shared" si="2"/>
        <v>0</v>
      </c>
      <c r="H6" s="51">
        <f t="shared" si="3"/>
        <v>35.5</v>
      </c>
      <c r="I6" s="44">
        <f t="shared" si="0"/>
        <v>28</v>
      </c>
      <c r="J6" s="44">
        <f t="shared" si="4"/>
        <v>8</v>
      </c>
      <c r="K6" s="44" t="str">
        <f>VLOOKUP(H6,'GRADING SYSTEM'!$D$15:$F$23,3)</f>
        <v>WEAK PASS</v>
      </c>
    </row>
    <row r="7" spans="1:11" ht="18.75" x14ac:dyDescent="0.25">
      <c r="A7" s="47" t="str">
        <f>'Info List'!A6</f>
        <v>BHS9004</v>
      </c>
      <c r="B7" s="48" t="str">
        <f>'Info List'!B6</f>
        <v>ANIWA JOANA SEYRAM</v>
      </c>
      <c r="C7" s="49">
        <f>'Info List'!C6</f>
        <v>9</v>
      </c>
      <c r="D7" s="50">
        <v>72</v>
      </c>
      <c r="E7" s="32">
        <f t="shared" si="1"/>
        <v>36</v>
      </c>
      <c r="F7" s="50"/>
      <c r="G7" s="32">
        <f t="shared" si="2"/>
        <v>0</v>
      </c>
      <c r="H7" s="51">
        <f t="shared" si="3"/>
        <v>36</v>
      </c>
      <c r="I7" s="44">
        <f t="shared" si="0"/>
        <v>27</v>
      </c>
      <c r="J7" s="44">
        <f t="shared" si="4"/>
        <v>8</v>
      </c>
      <c r="K7" s="44" t="str">
        <f>VLOOKUP(H7,'GRADING SYSTEM'!$D$15:$F$23,3)</f>
        <v>WEAK PASS</v>
      </c>
    </row>
    <row r="8" spans="1:11" ht="18.75" x14ac:dyDescent="0.25">
      <c r="A8" s="47" t="str">
        <f>'Info List'!A7</f>
        <v>BHS9005</v>
      </c>
      <c r="B8" s="48" t="str">
        <f>'Info List'!B7</f>
        <v>ANNAN AGNES</v>
      </c>
      <c r="C8" s="49">
        <f>'Info List'!C7</f>
        <v>9</v>
      </c>
      <c r="D8" s="50">
        <v>73</v>
      </c>
      <c r="E8" s="32">
        <f t="shared" si="1"/>
        <v>36.5</v>
      </c>
      <c r="F8" s="50"/>
      <c r="G8" s="32">
        <f t="shared" si="2"/>
        <v>0</v>
      </c>
      <c r="H8" s="51">
        <f t="shared" si="3"/>
        <v>36.5</v>
      </c>
      <c r="I8" s="44">
        <f t="shared" si="0"/>
        <v>26</v>
      </c>
      <c r="J8" s="44">
        <f t="shared" si="4"/>
        <v>8</v>
      </c>
      <c r="K8" s="44" t="str">
        <f>VLOOKUP(H8,'GRADING SYSTEM'!$D$15:$F$23,3)</f>
        <v>WEAK PASS</v>
      </c>
    </row>
    <row r="9" spans="1:11" ht="18.75" x14ac:dyDescent="0.25">
      <c r="A9" s="47" t="str">
        <f>'Info List'!A8</f>
        <v>BHS9006</v>
      </c>
      <c r="B9" s="48" t="str">
        <f>'Info List'!B8</f>
        <v>ARTHUR LILLIAN ABENA</v>
      </c>
      <c r="C9" s="49">
        <f>'Info List'!C8</f>
        <v>9</v>
      </c>
      <c r="D9" s="50">
        <v>74</v>
      </c>
      <c r="E9" s="32">
        <f t="shared" si="1"/>
        <v>37</v>
      </c>
      <c r="F9" s="50"/>
      <c r="G9" s="32">
        <f t="shared" si="2"/>
        <v>0</v>
      </c>
      <c r="H9" s="51">
        <f t="shared" si="3"/>
        <v>37</v>
      </c>
      <c r="I9" s="44">
        <f t="shared" si="0"/>
        <v>25</v>
      </c>
      <c r="J9" s="44">
        <f t="shared" si="4"/>
        <v>8</v>
      </c>
      <c r="K9" s="44" t="str">
        <f>VLOOKUP(H9,'GRADING SYSTEM'!$D$15:$F$23,3)</f>
        <v>WEAK PASS</v>
      </c>
    </row>
    <row r="10" spans="1:11" ht="18.75" x14ac:dyDescent="0.25">
      <c r="A10" s="47" t="str">
        <f>'Info List'!A9</f>
        <v>BHS9007</v>
      </c>
      <c r="B10" s="48" t="str">
        <f>'Info List'!B9</f>
        <v>ASARE JACOB</v>
      </c>
      <c r="C10" s="49">
        <f>'Info List'!C9</f>
        <v>9</v>
      </c>
      <c r="D10" s="50">
        <v>75</v>
      </c>
      <c r="E10" s="32">
        <f t="shared" si="1"/>
        <v>37.5</v>
      </c>
      <c r="F10" s="50"/>
      <c r="G10" s="32">
        <f t="shared" si="2"/>
        <v>0</v>
      </c>
      <c r="H10" s="51">
        <f t="shared" si="3"/>
        <v>37.5</v>
      </c>
      <c r="I10" s="44">
        <f t="shared" si="0"/>
        <v>24</v>
      </c>
      <c r="J10" s="44">
        <f t="shared" si="4"/>
        <v>8</v>
      </c>
      <c r="K10" s="44" t="str">
        <f>VLOOKUP(H10,'GRADING SYSTEM'!$D$15:$F$23,3)</f>
        <v>WEAK PASS</v>
      </c>
    </row>
    <row r="11" spans="1:11" ht="18.75" x14ac:dyDescent="0.25">
      <c r="A11" s="47" t="str">
        <f>'Info List'!A10</f>
        <v>BHS9008</v>
      </c>
      <c r="B11" s="48" t="str">
        <f>'Info List'!B10</f>
        <v>BAAH JOSEPHINE KONADU</v>
      </c>
      <c r="C11" s="49">
        <f>'Info List'!C10</f>
        <v>9</v>
      </c>
      <c r="D11" s="50">
        <v>76</v>
      </c>
      <c r="E11" s="32">
        <f t="shared" si="1"/>
        <v>38</v>
      </c>
      <c r="F11" s="50"/>
      <c r="G11" s="32">
        <f t="shared" si="2"/>
        <v>0</v>
      </c>
      <c r="H11" s="51">
        <f t="shared" si="3"/>
        <v>38</v>
      </c>
      <c r="I11" s="44">
        <f t="shared" si="0"/>
        <v>23</v>
      </c>
      <c r="J11" s="44">
        <f t="shared" si="4"/>
        <v>8</v>
      </c>
      <c r="K11" s="44" t="str">
        <f>VLOOKUP(H11,'GRADING SYSTEM'!$D$15:$F$23,3)</f>
        <v>WEAK PASS</v>
      </c>
    </row>
    <row r="12" spans="1:11" ht="18.75" x14ac:dyDescent="0.25">
      <c r="A12" s="47" t="str">
        <f>'Info List'!A11</f>
        <v>BHS9009</v>
      </c>
      <c r="B12" s="48" t="str">
        <f>'Info List'!B11</f>
        <v>BAIDOO MIDRED</v>
      </c>
      <c r="C12" s="49">
        <f>'Info List'!C11</f>
        <v>9</v>
      </c>
      <c r="D12" s="50">
        <v>77</v>
      </c>
      <c r="E12" s="32">
        <f>0.5*D12</f>
        <v>38.5</v>
      </c>
      <c r="F12" s="50"/>
      <c r="G12" s="32">
        <f t="shared" si="2"/>
        <v>0</v>
      </c>
      <c r="H12" s="51">
        <f t="shared" si="3"/>
        <v>38.5</v>
      </c>
      <c r="I12" s="44">
        <f t="shared" si="0"/>
        <v>22</v>
      </c>
      <c r="J12" s="44">
        <f t="shared" si="4"/>
        <v>8</v>
      </c>
      <c r="K12" s="44" t="str">
        <f>VLOOKUP(H12,'GRADING SYSTEM'!$D$15:$F$23,3)</f>
        <v>WEAK PASS</v>
      </c>
    </row>
    <row r="13" spans="1:11" ht="18.75" x14ac:dyDescent="0.25">
      <c r="A13" s="47" t="str">
        <f>'Info List'!A12</f>
        <v>BHS9010</v>
      </c>
      <c r="B13" s="48" t="str">
        <f>'Info List'!B12</f>
        <v>BOAKYE KELVIN OWUSU</v>
      </c>
      <c r="C13" s="49">
        <f>'Info List'!C12</f>
        <v>9</v>
      </c>
      <c r="D13" s="50">
        <v>78</v>
      </c>
      <c r="E13" s="32">
        <f t="shared" si="1"/>
        <v>39</v>
      </c>
      <c r="F13" s="50"/>
      <c r="G13" s="32">
        <f t="shared" si="2"/>
        <v>0</v>
      </c>
      <c r="H13" s="51">
        <f t="shared" si="3"/>
        <v>39</v>
      </c>
      <c r="I13" s="44">
        <f t="shared" si="0"/>
        <v>21</v>
      </c>
      <c r="J13" s="44">
        <f t="shared" si="4"/>
        <v>8</v>
      </c>
      <c r="K13" s="44" t="str">
        <f>VLOOKUP(H13,'GRADING SYSTEM'!$D$15:$F$23,3)</f>
        <v>WEAK PASS</v>
      </c>
    </row>
    <row r="14" spans="1:11" ht="18.75" x14ac:dyDescent="0.25">
      <c r="A14" s="47" t="str">
        <f>'Info List'!A13</f>
        <v>BHS9011</v>
      </c>
      <c r="B14" s="48" t="str">
        <f>'Info List'!B13</f>
        <v>BOATENG NICHOLAS KELVIN</v>
      </c>
      <c r="C14" s="49">
        <f>'Info List'!C13</f>
        <v>9</v>
      </c>
      <c r="D14" s="50">
        <v>79</v>
      </c>
      <c r="E14" s="32">
        <f t="shared" si="1"/>
        <v>39.5</v>
      </c>
      <c r="F14" s="50"/>
      <c r="G14" s="32">
        <f t="shared" si="2"/>
        <v>0</v>
      </c>
      <c r="H14" s="51">
        <f t="shared" si="3"/>
        <v>39.5</v>
      </c>
      <c r="I14" s="44">
        <f t="shared" si="0"/>
        <v>20</v>
      </c>
      <c r="J14" s="44">
        <f t="shared" si="4"/>
        <v>8</v>
      </c>
      <c r="K14" s="44" t="str">
        <f>VLOOKUP(H14,'GRADING SYSTEM'!$D$15:$F$23,3)</f>
        <v>WEAK PASS</v>
      </c>
    </row>
    <row r="15" spans="1:11" ht="18.75" x14ac:dyDescent="0.25">
      <c r="A15" s="47" t="str">
        <f>'Info List'!A14</f>
        <v>BHS9012</v>
      </c>
      <c r="B15" s="48" t="str">
        <f>'Info List'!B14</f>
        <v>CHARKITEY JOSEPH TETTEY EMEKOH</v>
      </c>
      <c r="C15" s="49">
        <f>'Info List'!C14</f>
        <v>9</v>
      </c>
      <c r="D15" s="50">
        <v>80</v>
      </c>
      <c r="E15" s="32">
        <f t="shared" si="1"/>
        <v>40</v>
      </c>
      <c r="F15" s="50"/>
      <c r="G15" s="32">
        <f t="shared" si="2"/>
        <v>0</v>
      </c>
      <c r="H15" s="51">
        <f t="shared" si="3"/>
        <v>40</v>
      </c>
      <c r="I15" s="44">
        <f t="shared" si="0"/>
        <v>19</v>
      </c>
      <c r="J15" s="44">
        <f t="shared" si="4"/>
        <v>7</v>
      </c>
      <c r="K15" s="44" t="str">
        <f>VLOOKUP(H15,'GRADING SYSTEM'!$D$15:$F$23,3)</f>
        <v>PASS</v>
      </c>
    </row>
    <row r="16" spans="1:11" ht="18.75" x14ac:dyDescent="0.25">
      <c r="A16" s="47" t="str">
        <f>'Info List'!A15</f>
        <v>BHS9013</v>
      </c>
      <c r="B16" s="48" t="str">
        <f>'Info List'!B15</f>
        <v>DANKWAH AMA JANEL</v>
      </c>
      <c r="C16" s="49">
        <f>'Info List'!C15</f>
        <v>9</v>
      </c>
      <c r="D16" s="50">
        <v>81</v>
      </c>
      <c r="E16" s="32">
        <f t="shared" si="1"/>
        <v>40.5</v>
      </c>
      <c r="F16" s="50"/>
      <c r="G16" s="32">
        <f t="shared" si="2"/>
        <v>0</v>
      </c>
      <c r="H16" s="51">
        <f t="shared" si="3"/>
        <v>40.5</v>
      </c>
      <c r="I16" s="44">
        <f t="shared" si="0"/>
        <v>18</v>
      </c>
      <c r="J16" s="44">
        <f t="shared" si="4"/>
        <v>7</v>
      </c>
      <c r="K16" s="44" t="str">
        <f>VLOOKUP(H16,'GRADING SYSTEM'!$D$15:$F$23,3)</f>
        <v>PASS</v>
      </c>
    </row>
    <row r="17" spans="1:11" ht="18.75" x14ac:dyDescent="0.25">
      <c r="A17" s="47" t="str">
        <f>'Info List'!A16</f>
        <v>BHS9014</v>
      </c>
      <c r="B17" s="48" t="str">
        <f>'Info List'!B16</f>
        <v>DANKWAH SHANTEL</v>
      </c>
      <c r="C17" s="49">
        <f>'Info List'!C16</f>
        <v>9</v>
      </c>
      <c r="D17" s="50">
        <v>82</v>
      </c>
      <c r="E17" s="32">
        <f t="shared" si="1"/>
        <v>41</v>
      </c>
      <c r="F17" s="50"/>
      <c r="G17" s="32">
        <f t="shared" si="2"/>
        <v>0</v>
      </c>
      <c r="H17" s="51">
        <f t="shared" si="3"/>
        <v>41</v>
      </c>
      <c r="I17" s="44">
        <f t="shared" si="0"/>
        <v>17</v>
      </c>
      <c r="J17" s="44">
        <f t="shared" si="4"/>
        <v>7</v>
      </c>
      <c r="K17" s="44" t="str">
        <f>VLOOKUP(H17,'GRADING SYSTEM'!$D$15:$F$23,3)</f>
        <v>PASS</v>
      </c>
    </row>
    <row r="18" spans="1:11" ht="18.75" x14ac:dyDescent="0.25">
      <c r="A18" s="47" t="str">
        <f>'Info List'!A17</f>
        <v>BHS9015</v>
      </c>
      <c r="B18" s="48" t="str">
        <f>'Info List'!B17</f>
        <v>ESSILFIE ENOCH</v>
      </c>
      <c r="C18" s="49">
        <f>'Info List'!C17</f>
        <v>9</v>
      </c>
      <c r="D18" s="50">
        <v>83</v>
      </c>
      <c r="E18" s="32">
        <f t="shared" si="1"/>
        <v>41.5</v>
      </c>
      <c r="F18" s="50"/>
      <c r="G18" s="32">
        <f t="shared" si="2"/>
        <v>0</v>
      </c>
      <c r="H18" s="51">
        <f t="shared" si="3"/>
        <v>41.5</v>
      </c>
      <c r="I18" s="44">
        <f t="shared" si="0"/>
        <v>16</v>
      </c>
      <c r="J18" s="44">
        <f t="shared" si="4"/>
        <v>7</v>
      </c>
      <c r="K18" s="44" t="str">
        <f>VLOOKUP(H18,'GRADING SYSTEM'!$D$15:$F$23,3)</f>
        <v>PASS</v>
      </c>
    </row>
    <row r="19" spans="1:11" ht="18.75" x14ac:dyDescent="0.25">
      <c r="A19" s="47" t="str">
        <f>'Info List'!A18</f>
        <v>BHS9016</v>
      </c>
      <c r="B19" s="48" t="str">
        <f>'Info List'!B18</f>
        <v>GANDAA LINDA</v>
      </c>
      <c r="C19" s="49">
        <f>'Info List'!C18</f>
        <v>9</v>
      </c>
      <c r="D19" s="50">
        <v>84</v>
      </c>
      <c r="E19" s="32">
        <f t="shared" si="1"/>
        <v>42</v>
      </c>
      <c r="F19" s="50"/>
      <c r="G19" s="32">
        <f t="shared" si="2"/>
        <v>0</v>
      </c>
      <c r="H19" s="51">
        <f t="shared" si="3"/>
        <v>42</v>
      </c>
      <c r="I19" s="44">
        <f t="shared" si="0"/>
        <v>15</v>
      </c>
      <c r="J19" s="44">
        <f t="shared" si="4"/>
        <v>7</v>
      </c>
      <c r="K19" s="44" t="str">
        <f>VLOOKUP(H19,'GRADING SYSTEM'!$D$15:$F$23,3)</f>
        <v>PASS</v>
      </c>
    </row>
    <row r="20" spans="1:11" ht="18.75" x14ac:dyDescent="0.25">
      <c r="A20" s="47" t="str">
        <f>'Info List'!A19</f>
        <v>BHS9017</v>
      </c>
      <c r="B20" s="48" t="str">
        <f>'Info List'!B19</f>
        <v>GEORGINA DUSHIE QUEENSTAR</v>
      </c>
      <c r="C20" s="49">
        <f>'Info List'!C19</f>
        <v>9</v>
      </c>
      <c r="D20" s="50">
        <v>85</v>
      </c>
      <c r="E20" s="32">
        <f t="shared" si="1"/>
        <v>42.5</v>
      </c>
      <c r="F20" s="50"/>
      <c r="G20" s="32">
        <f t="shared" si="2"/>
        <v>0</v>
      </c>
      <c r="H20" s="51">
        <f t="shared" si="3"/>
        <v>42.5</v>
      </c>
      <c r="I20" s="44">
        <f t="shared" si="0"/>
        <v>14</v>
      </c>
      <c r="J20" s="44">
        <f t="shared" si="4"/>
        <v>7</v>
      </c>
      <c r="K20" s="44" t="str">
        <f>VLOOKUP(H20,'GRADING SYSTEM'!$D$15:$F$23,3)</f>
        <v>PASS</v>
      </c>
    </row>
    <row r="21" spans="1:11" ht="18.75" x14ac:dyDescent="0.25">
      <c r="A21" s="47" t="str">
        <f>'Info List'!A20</f>
        <v>BHS9018</v>
      </c>
      <c r="B21" s="48" t="str">
        <f>'Info List'!B20</f>
        <v>GYAKYE AMPONSAH EKUA</v>
      </c>
      <c r="C21" s="49">
        <f>'Info List'!C20</f>
        <v>9</v>
      </c>
      <c r="D21" s="50">
        <v>86</v>
      </c>
      <c r="E21" s="32">
        <f t="shared" si="1"/>
        <v>43</v>
      </c>
      <c r="F21" s="50"/>
      <c r="G21" s="32">
        <f t="shared" si="2"/>
        <v>0</v>
      </c>
      <c r="H21" s="51">
        <f t="shared" si="3"/>
        <v>43</v>
      </c>
      <c r="I21" s="44">
        <f t="shared" si="0"/>
        <v>13</v>
      </c>
      <c r="J21" s="44">
        <f t="shared" si="4"/>
        <v>7</v>
      </c>
      <c r="K21" s="44" t="str">
        <f>VLOOKUP(H21,'GRADING SYSTEM'!$D$15:$F$23,3)</f>
        <v>PASS</v>
      </c>
    </row>
    <row r="22" spans="1:11" ht="18.75" x14ac:dyDescent="0.25">
      <c r="A22" s="47" t="str">
        <f>'Info List'!A21</f>
        <v>BHS9019</v>
      </c>
      <c r="B22" s="48" t="str">
        <f>'Info List'!B21</f>
        <v>MENSAH GLORIA KUSI</v>
      </c>
      <c r="C22" s="49">
        <f>'Info List'!C21</f>
        <v>9</v>
      </c>
      <c r="D22" s="50">
        <v>87</v>
      </c>
      <c r="E22" s="32">
        <f t="shared" si="1"/>
        <v>43.5</v>
      </c>
      <c r="F22" s="50"/>
      <c r="G22" s="32">
        <f t="shared" si="2"/>
        <v>0</v>
      </c>
      <c r="H22" s="51">
        <f t="shared" si="3"/>
        <v>43.5</v>
      </c>
      <c r="I22" s="44">
        <f t="shared" si="0"/>
        <v>12</v>
      </c>
      <c r="J22" s="44">
        <f t="shared" si="4"/>
        <v>7</v>
      </c>
      <c r="K22" s="44" t="str">
        <f>VLOOKUP(H22,'GRADING SYSTEM'!$D$15:$F$23,3)</f>
        <v>PASS</v>
      </c>
    </row>
    <row r="23" spans="1:11" ht="18.75" x14ac:dyDescent="0.25">
      <c r="A23" s="47" t="str">
        <f>'Info List'!A22</f>
        <v>BHS9020</v>
      </c>
      <c r="B23" s="48" t="str">
        <f>'Info List'!B22</f>
        <v>MENSAH KWASI BLESS</v>
      </c>
      <c r="C23" s="49">
        <f>'Info List'!C22</f>
        <v>9</v>
      </c>
      <c r="D23" s="50">
        <v>88</v>
      </c>
      <c r="E23" s="32">
        <f t="shared" si="1"/>
        <v>44</v>
      </c>
      <c r="F23" s="50"/>
      <c r="G23" s="32">
        <f t="shared" si="2"/>
        <v>0</v>
      </c>
      <c r="H23" s="51">
        <f t="shared" si="3"/>
        <v>44</v>
      </c>
      <c r="I23" s="44">
        <f t="shared" si="0"/>
        <v>11</v>
      </c>
      <c r="J23" s="44">
        <f t="shared" si="4"/>
        <v>7</v>
      </c>
      <c r="K23" s="44" t="str">
        <f>VLOOKUP(H23,'GRADING SYSTEM'!$D$15:$F$23,3)</f>
        <v>PASS</v>
      </c>
    </row>
    <row r="24" spans="1:11" ht="18.75" x14ac:dyDescent="0.25">
      <c r="A24" s="47" t="str">
        <f>'Info List'!A23</f>
        <v>BHS9021</v>
      </c>
      <c r="B24" s="48" t="str">
        <f>'Info List'!B23</f>
        <v>MENSAH SHADRACK</v>
      </c>
      <c r="C24" s="49">
        <f>'Info List'!C23</f>
        <v>9</v>
      </c>
      <c r="D24" s="50">
        <v>89</v>
      </c>
      <c r="E24" s="32">
        <f t="shared" ref="E24:E25" si="5">0.5*D24</f>
        <v>44.5</v>
      </c>
      <c r="F24" s="50"/>
      <c r="G24" s="32">
        <f t="shared" ref="G24:G25" si="6">0.5*F24</f>
        <v>0</v>
      </c>
      <c r="H24" s="51">
        <f t="shared" ref="H24:H25" si="7">E24+G24</f>
        <v>44.5</v>
      </c>
      <c r="I24" s="44">
        <f t="shared" si="0"/>
        <v>10</v>
      </c>
      <c r="J24" s="44">
        <f t="shared" ref="J24:J25" si="8">IF(H24&gt;79.5, 1, IF(H24&gt;69.5, 2, IF(H24&gt;59.5, 3, IF(H24&gt;54.5, 4, IF(H24&gt;49.5, 5, IF(H24&gt;44.5, 6, IF(H24&gt;39.5, 7, IF(H24&gt;33.5, 8, IF(H24&gt;-1, 9)))))))))</f>
        <v>7</v>
      </c>
      <c r="K24" s="44" t="str">
        <f>VLOOKUP(H24,'GRADING SYSTEM'!$D$15:$F$23,3)</f>
        <v>PASS</v>
      </c>
    </row>
    <row r="25" spans="1:11" ht="18.75" x14ac:dyDescent="0.25">
      <c r="A25" s="47" t="str">
        <f>'Info List'!A24</f>
        <v>BHS9022</v>
      </c>
      <c r="B25" s="48" t="str">
        <f>'Info List'!B24</f>
        <v>OFORI RODLYNE NANA ADOMA</v>
      </c>
      <c r="C25" s="49">
        <f>'Info List'!C24</f>
        <v>9</v>
      </c>
      <c r="D25" s="50">
        <v>90</v>
      </c>
      <c r="E25" s="32">
        <f t="shared" si="5"/>
        <v>45</v>
      </c>
      <c r="F25" s="50"/>
      <c r="G25" s="32">
        <f t="shared" si="6"/>
        <v>0</v>
      </c>
      <c r="H25" s="51">
        <f t="shared" si="7"/>
        <v>45</v>
      </c>
      <c r="I25" s="44">
        <f t="shared" si="0"/>
        <v>9</v>
      </c>
      <c r="J25" s="44">
        <f t="shared" si="8"/>
        <v>6</v>
      </c>
      <c r="K25" s="44" t="str">
        <f>VLOOKUP(H25,'GRADING SYSTEM'!$D$15:$F$23,3)</f>
        <v>LOW AVERAGE</v>
      </c>
    </row>
    <row r="26" spans="1:11" ht="18.75" x14ac:dyDescent="0.25">
      <c r="A26" s="47" t="str">
        <f>'Info List'!A25</f>
        <v>BHS9023</v>
      </c>
      <c r="B26" s="48" t="str">
        <f>'Info List'!B25</f>
        <v>OPOKU JOEL ODURO SARPONG</v>
      </c>
      <c r="C26" s="49">
        <f>'Info List'!C25</f>
        <v>9</v>
      </c>
      <c r="D26" s="50">
        <v>91</v>
      </c>
      <c r="E26" s="32">
        <f t="shared" ref="E26:E29" si="9">0.5*D26</f>
        <v>45.5</v>
      </c>
      <c r="F26" s="50"/>
      <c r="G26" s="32">
        <f t="shared" ref="G26:G29" si="10">0.5*F26</f>
        <v>0</v>
      </c>
      <c r="H26" s="51">
        <f t="shared" ref="H26:H29" si="11">E26+G26</f>
        <v>45.5</v>
      </c>
      <c r="I26" s="44">
        <f t="shared" si="0"/>
        <v>8</v>
      </c>
      <c r="J26" s="44">
        <f t="shared" ref="J26:J29" si="12">IF(H26&gt;79.5, 1, IF(H26&gt;69.5, 2, IF(H26&gt;59.5, 3, IF(H26&gt;54.5, 4, IF(H26&gt;49.5, 5, IF(H26&gt;44.5, 6, IF(H26&gt;39.5, 7, IF(H26&gt;33.5, 8, IF(H26&gt;-1, 9)))))))))</f>
        <v>6</v>
      </c>
      <c r="K26" s="44" t="str">
        <f>VLOOKUP(H26,'GRADING SYSTEM'!$D$15:$F$23,3)</f>
        <v>LOW AVERAGE</v>
      </c>
    </row>
    <row r="27" spans="1:11" ht="18.75" x14ac:dyDescent="0.25">
      <c r="A27" s="47" t="str">
        <f>'Info List'!A26</f>
        <v>BHS9024</v>
      </c>
      <c r="B27" s="48" t="str">
        <f>'Info List'!B26</f>
        <v>OPPONG NHYIRABA</v>
      </c>
      <c r="C27" s="49">
        <f>'Info List'!C26</f>
        <v>9</v>
      </c>
      <c r="D27" s="50">
        <v>92</v>
      </c>
      <c r="E27" s="32">
        <f t="shared" si="9"/>
        <v>46</v>
      </c>
      <c r="F27" s="50"/>
      <c r="G27" s="32">
        <f t="shared" si="10"/>
        <v>0</v>
      </c>
      <c r="H27" s="51">
        <f t="shared" si="11"/>
        <v>46</v>
      </c>
      <c r="I27" s="44">
        <f t="shared" si="0"/>
        <v>7</v>
      </c>
      <c r="J27" s="44">
        <f t="shared" si="12"/>
        <v>6</v>
      </c>
      <c r="K27" s="44" t="str">
        <f>VLOOKUP(H27,'GRADING SYSTEM'!$D$15:$F$23,3)</f>
        <v>LOW AVERAGE</v>
      </c>
    </row>
    <row r="28" spans="1:11" ht="18.75" x14ac:dyDescent="0.25">
      <c r="A28" s="47" t="str">
        <f>'Info List'!A27</f>
        <v>BHS9025</v>
      </c>
      <c r="B28" s="48" t="str">
        <f>'Info List'!B27</f>
        <v>OPPONG NYAMEBA YAA</v>
      </c>
      <c r="C28" s="49">
        <f>'Info List'!C27</f>
        <v>9</v>
      </c>
      <c r="D28" s="50">
        <v>93</v>
      </c>
      <c r="E28" s="32">
        <f t="shared" si="9"/>
        <v>46.5</v>
      </c>
      <c r="F28" s="50"/>
      <c r="G28" s="32">
        <f t="shared" si="10"/>
        <v>0</v>
      </c>
      <c r="H28" s="51">
        <f t="shared" si="11"/>
        <v>46.5</v>
      </c>
      <c r="I28" s="44">
        <f t="shared" si="0"/>
        <v>6</v>
      </c>
      <c r="J28" s="44">
        <f t="shared" si="12"/>
        <v>6</v>
      </c>
      <c r="K28" s="44" t="str">
        <f>VLOOKUP(H28,'GRADING SYSTEM'!$D$15:$F$23,3)</f>
        <v>LOW AVERAGE</v>
      </c>
    </row>
    <row r="29" spans="1:11" ht="18.75" x14ac:dyDescent="0.25">
      <c r="A29" s="47" t="str">
        <f>'Info List'!A28</f>
        <v>BHS9026</v>
      </c>
      <c r="B29" s="48" t="str">
        <f>'Info List'!B28</f>
        <v>QUARCOO JESSICA</v>
      </c>
      <c r="C29" s="49">
        <f>'Info List'!C28</f>
        <v>9</v>
      </c>
      <c r="D29" s="50">
        <v>94</v>
      </c>
      <c r="E29" s="32">
        <f t="shared" si="9"/>
        <v>47</v>
      </c>
      <c r="F29" s="50"/>
      <c r="G29" s="32">
        <f t="shared" si="10"/>
        <v>0</v>
      </c>
      <c r="H29" s="51">
        <f t="shared" si="11"/>
        <v>47</v>
      </c>
      <c r="I29" s="44">
        <f t="shared" si="0"/>
        <v>5</v>
      </c>
      <c r="J29" s="44">
        <f t="shared" si="12"/>
        <v>6</v>
      </c>
      <c r="K29" s="44" t="str">
        <f>VLOOKUP(H29,'GRADING SYSTEM'!$D$15:$F$23,3)</f>
        <v>LOW AVERAGE</v>
      </c>
    </row>
    <row r="30" spans="1:11" ht="18.75" x14ac:dyDescent="0.25">
      <c r="A30" s="47" t="str">
        <f>'Info List'!A29</f>
        <v>BHS9027</v>
      </c>
      <c r="B30" s="48" t="str">
        <f>'Info List'!B29</f>
        <v>GAKPETOR ISAIAH</v>
      </c>
      <c r="C30" s="49">
        <f>'Info List'!C29</f>
        <v>9</v>
      </c>
      <c r="D30" s="50">
        <v>95</v>
      </c>
      <c r="E30" s="32">
        <f t="shared" ref="E30:E32" si="13">0.5*D30</f>
        <v>47.5</v>
      </c>
      <c r="F30" s="50"/>
      <c r="G30" s="32">
        <f t="shared" ref="G30:G32" si="14">0.5*F30</f>
        <v>0</v>
      </c>
      <c r="H30" s="51">
        <f t="shared" ref="H30:H32" si="15">E30+G30</f>
        <v>47.5</v>
      </c>
      <c r="I30" s="44">
        <f t="shared" si="0"/>
        <v>4</v>
      </c>
      <c r="J30" s="44">
        <f t="shared" ref="J30:J32" si="16">IF(H30&gt;79.5, 1, IF(H30&gt;69.5, 2, IF(H30&gt;59.5, 3, IF(H30&gt;54.5, 4, IF(H30&gt;49.5, 5, IF(H30&gt;44.5, 6, IF(H30&gt;39.5, 7, IF(H30&gt;33.5, 8, IF(H30&gt;-1, 9)))))))))</f>
        <v>6</v>
      </c>
      <c r="K30" s="44" t="str">
        <f>VLOOKUP(H30,'GRADING SYSTEM'!$D$15:$F$23,3)</f>
        <v>LOW AVERAGE</v>
      </c>
    </row>
    <row r="31" spans="1:11" ht="18.75" x14ac:dyDescent="0.25">
      <c r="A31" s="47" t="str">
        <f>'Info List'!A30</f>
        <v>BHS9028</v>
      </c>
      <c r="B31" s="48" t="str">
        <f>'Info List'!B30</f>
        <v>SUDAIS ABDUL RAHMAN MUSA</v>
      </c>
      <c r="C31" s="49">
        <f>'Info List'!C30</f>
        <v>9</v>
      </c>
      <c r="D31" s="50">
        <v>96</v>
      </c>
      <c r="E31" s="32">
        <f t="shared" si="13"/>
        <v>48</v>
      </c>
      <c r="F31" s="50"/>
      <c r="G31" s="32">
        <f t="shared" si="14"/>
        <v>0</v>
      </c>
      <c r="H31" s="51">
        <f t="shared" si="15"/>
        <v>48</v>
      </c>
      <c r="I31" s="44">
        <f t="shared" si="0"/>
        <v>3</v>
      </c>
      <c r="J31" s="44">
        <f t="shared" si="16"/>
        <v>6</v>
      </c>
      <c r="K31" s="44" t="str">
        <f>VLOOKUP(H31,'GRADING SYSTEM'!$D$15:$F$23,3)</f>
        <v>LOW AVERAGE</v>
      </c>
    </row>
    <row r="32" spans="1:11" ht="18.75" x14ac:dyDescent="0.25">
      <c r="A32" s="47" t="str">
        <f>'Info List'!A31</f>
        <v>BHS9029</v>
      </c>
      <c r="B32" s="48" t="str">
        <f>'Info List'!B31</f>
        <v>YEVAKPOR SYLVIA EYRAM</v>
      </c>
      <c r="C32" s="49">
        <f>'Info List'!C31</f>
        <v>9</v>
      </c>
      <c r="D32" s="50">
        <v>97</v>
      </c>
      <c r="E32" s="32">
        <f t="shared" si="13"/>
        <v>48.5</v>
      </c>
      <c r="F32" s="50"/>
      <c r="G32" s="32">
        <f t="shared" si="14"/>
        <v>0</v>
      </c>
      <c r="H32" s="51">
        <f t="shared" si="15"/>
        <v>48.5</v>
      </c>
      <c r="I32" s="44">
        <f t="shared" si="0"/>
        <v>2</v>
      </c>
      <c r="J32" s="44">
        <f t="shared" si="16"/>
        <v>6</v>
      </c>
      <c r="K32" s="44" t="str">
        <f>VLOOKUP(H32,'GRADING SYSTEM'!$D$15:$F$23,3)</f>
        <v>LOW AVERAGE</v>
      </c>
    </row>
  </sheetData>
  <mergeCells count="6">
    <mergeCell ref="A1:K1"/>
    <mergeCell ref="B2:B3"/>
    <mergeCell ref="C2:C3"/>
    <mergeCell ref="I2:I3"/>
    <mergeCell ref="J2:J3"/>
    <mergeCell ref="K2:K3"/>
  </mergeCells>
  <dataValidations count="1">
    <dataValidation type="whole" allowBlank="1" showInputMessage="1" showErrorMessage="1" errorTitle="WRONG ENTRY" error="Enter marks from 0 to 100" sqref="G4:G32" xr:uid="{00000000-0002-0000-0400-000000000000}">
      <formula1>0</formula1>
      <formula2>100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718848"/>
  </sheetPr>
  <dimension ref="A1:K32"/>
  <sheetViews>
    <sheetView zoomScale="90" zoomScaleNormal="90" workbookViewId="0">
      <selection activeCell="F6" sqref="F6"/>
    </sheetView>
  </sheetViews>
  <sheetFormatPr defaultRowHeight="15" x14ac:dyDescent="0.25"/>
  <cols>
    <col min="1" max="1" width="13" customWidth="1"/>
    <col min="2" max="2" width="48.140625" customWidth="1"/>
    <col min="3" max="3" width="10.140625" customWidth="1"/>
    <col min="5" max="6" width="12.7109375" customWidth="1"/>
    <col min="7" max="7" width="13.140625" customWidth="1"/>
    <col min="8" max="8" width="14.28515625" customWidth="1"/>
    <col min="9" max="9" width="10.5703125" customWidth="1"/>
    <col min="11" max="11" width="27.5703125" customWidth="1"/>
  </cols>
  <sheetData>
    <row r="1" spans="1:11" ht="33.75" x14ac:dyDescent="0.25">
      <c r="A1" s="90" t="s">
        <v>40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45" customHeight="1" x14ac:dyDescent="0.25">
      <c r="A2" s="17" t="s">
        <v>9</v>
      </c>
      <c r="B2" s="88" t="s">
        <v>2</v>
      </c>
      <c r="C2" s="88" t="s">
        <v>3</v>
      </c>
      <c r="D2" s="4" t="s">
        <v>10</v>
      </c>
      <c r="E2" s="45" t="s">
        <v>11</v>
      </c>
      <c r="F2" s="9" t="s">
        <v>57</v>
      </c>
      <c r="G2" s="45" t="s">
        <v>12</v>
      </c>
      <c r="H2" s="5" t="s">
        <v>14</v>
      </c>
      <c r="I2" s="88" t="s">
        <v>15</v>
      </c>
      <c r="J2" s="89" t="s">
        <v>16</v>
      </c>
      <c r="K2" s="88" t="s">
        <v>17</v>
      </c>
    </row>
    <row r="3" spans="1:11" ht="15" customHeight="1" x14ac:dyDescent="0.25">
      <c r="A3" s="17"/>
      <c r="B3" s="88"/>
      <c r="C3" s="88"/>
      <c r="D3" s="53">
        <v>1</v>
      </c>
      <c r="E3" s="53" t="s">
        <v>18</v>
      </c>
      <c r="F3" s="54">
        <v>1</v>
      </c>
      <c r="G3" s="53" t="s">
        <v>136</v>
      </c>
      <c r="H3" s="52" t="s">
        <v>137</v>
      </c>
      <c r="I3" s="88"/>
      <c r="J3" s="89"/>
      <c r="K3" s="88"/>
    </row>
    <row r="4" spans="1:11" ht="18.75" x14ac:dyDescent="0.25">
      <c r="A4" s="47" t="str">
        <f>'Info List'!A3</f>
        <v>BHS9001</v>
      </c>
      <c r="B4" s="48" t="str">
        <f>'Info List'!B3</f>
        <v>ABRAKWAH EVA OWUSUAA</v>
      </c>
      <c r="C4" s="49">
        <f>'Info List'!C3</f>
        <v>9</v>
      </c>
      <c r="D4" s="59">
        <v>91</v>
      </c>
      <c r="E4" s="32">
        <f>0.5*D4</f>
        <v>45.5</v>
      </c>
      <c r="F4" s="50">
        <v>70</v>
      </c>
      <c r="G4" s="32">
        <f>0.5*F4</f>
        <v>35</v>
      </c>
      <c r="H4" s="51">
        <f>E4+G4</f>
        <v>80.5</v>
      </c>
      <c r="I4" s="44">
        <f t="shared" ref="I4:I32" si="0">RANK(H4,$H$4:$H$32)</f>
        <v>1</v>
      </c>
      <c r="J4" s="44">
        <f>IF(H4&gt;79.5, 1, IF(H4&gt;69.5, 2, IF(H4&gt;59.5, 3, IF(H4&gt;54.5, 4, IF(H4&gt;49.5, 5, IF(H4&gt;44.5, 6, IF(H4&gt;39.5, 7, IF(H4&gt;33.5, 8, IF(H4&gt;-1, 9)))))))))</f>
        <v>1</v>
      </c>
      <c r="K4" s="44" t="str">
        <f>VLOOKUP(H4,'GRADING SYSTEM'!$D$15:$F$23,3)</f>
        <v>EXCELLENT</v>
      </c>
    </row>
    <row r="5" spans="1:11" ht="18.75" x14ac:dyDescent="0.25">
      <c r="A5" s="47" t="str">
        <f>'Info List'!A4</f>
        <v>BHS9002</v>
      </c>
      <c r="B5" s="48" t="str">
        <f>'Info List'!B4</f>
        <v>ADZILAFU EDWARD</v>
      </c>
      <c r="C5" s="49">
        <f>'Info List'!C4</f>
        <v>9</v>
      </c>
      <c r="D5" s="59"/>
      <c r="E5" s="32">
        <f t="shared" ref="E5:E23" si="1">0.5*D5</f>
        <v>0</v>
      </c>
      <c r="F5" s="50"/>
      <c r="G5" s="32">
        <f t="shared" ref="G5:G23" si="2">0.5*F5</f>
        <v>0</v>
      </c>
      <c r="H5" s="51">
        <f t="shared" ref="H5:H23" si="3">E5+G5</f>
        <v>0</v>
      </c>
      <c r="I5" s="44">
        <f t="shared" si="0"/>
        <v>2</v>
      </c>
      <c r="J5" s="44">
        <f t="shared" ref="J5:J23" si="4">IF(H5&gt;79.5, 1, IF(H5&gt;69.5, 2, IF(H5&gt;59.5, 3, IF(H5&gt;54.5, 4, IF(H5&gt;49.5, 5, IF(H5&gt;44.5, 6, IF(H5&gt;39.5, 7, IF(H5&gt;33.5, 8, IF(H5&gt;-1, 9)))))))))</f>
        <v>9</v>
      </c>
      <c r="K5" s="44" t="str">
        <f>VLOOKUP(H5,'GRADING SYSTEM'!$D$15:$F$23,3)</f>
        <v>FAIL</v>
      </c>
    </row>
    <row r="6" spans="1:11" ht="18.75" x14ac:dyDescent="0.25">
      <c r="A6" s="47" t="str">
        <f>'Info List'!A5</f>
        <v>BHS9003</v>
      </c>
      <c r="B6" s="48" t="str">
        <f>'Info List'!B5</f>
        <v>AGYEPONG DASEBRE</v>
      </c>
      <c r="C6" s="49">
        <f>'Info List'!C5</f>
        <v>9</v>
      </c>
      <c r="D6" s="59"/>
      <c r="E6" s="32">
        <f t="shared" si="1"/>
        <v>0</v>
      </c>
      <c r="F6" s="50"/>
      <c r="G6" s="32">
        <f t="shared" si="2"/>
        <v>0</v>
      </c>
      <c r="H6" s="51">
        <f t="shared" si="3"/>
        <v>0</v>
      </c>
      <c r="I6" s="44">
        <f t="shared" si="0"/>
        <v>2</v>
      </c>
      <c r="J6" s="44">
        <f t="shared" si="4"/>
        <v>9</v>
      </c>
      <c r="K6" s="44" t="str">
        <f>VLOOKUP(H6,'GRADING SYSTEM'!$D$15:$F$23,3)</f>
        <v>FAIL</v>
      </c>
    </row>
    <row r="7" spans="1:11" ht="18.75" x14ac:dyDescent="0.25">
      <c r="A7" s="47" t="str">
        <f>'Info List'!A6</f>
        <v>BHS9004</v>
      </c>
      <c r="B7" s="48" t="str">
        <f>'Info List'!B6</f>
        <v>ANIWA JOANA SEYRAM</v>
      </c>
      <c r="C7" s="49">
        <f>'Info List'!C6</f>
        <v>9</v>
      </c>
      <c r="D7" s="59"/>
      <c r="E7" s="32">
        <f t="shared" si="1"/>
        <v>0</v>
      </c>
      <c r="F7" s="50"/>
      <c r="G7" s="32">
        <f t="shared" si="2"/>
        <v>0</v>
      </c>
      <c r="H7" s="51">
        <f t="shared" si="3"/>
        <v>0</v>
      </c>
      <c r="I7" s="44">
        <f t="shared" si="0"/>
        <v>2</v>
      </c>
      <c r="J7" s="44">
        <f t="shared" si="4"/>
        <v>9</v>
      </c>
      <c r="K7" s="44" t="str">
        <f>VLOOKUP(H7,'GRADING SYSTEM'!$D$15:$F$23,3)</f>
        <v>FAIL</v>
      </c>
    </row>
    <row r="8" spans="1:11" ht="18.75" x14ac:dyDescent="0.25">
      <c r="A8" s="47" t="str">
        <f>'Info List'!A7</f>
        <v>BHS9005</v>
      </c>
      <c r="B8" s="48" t="str">
        <f>'Info List'!B7</f>
        <v>ANNAN AGNES</v>
      </c>
      <c r="C8" s="49">
        <f>'Info List'!C7</f>
        <v>9</v>
      </c>
      <c r="D8" s="59"/>
      <c r="E8" s="32">
        <f t="shared" si="1"/>
        <v>0</v>
      </c>
      <c r="F8" s="50"/>
      <c r="G8" s="32">
        <f t="shared" si="2"/>
        <v>0</v>
      </c>
      <c r="H8" s="51">
        <f t="shared" si="3"/>
        <v>0</v>
      </c>
      <c r="I8" s="44">
        <f t="shared" si="0"/>
        <v>2</v>
      </c>
      <c r="J8" s="44">
        <f t="shared" si="4"/>
        <v>9</v>
      </c>
      <c r="K8" s="44" t="str">
        <f>VLOOKUP(H8,'GRADING SYSTEM'!$D$15:$F$23,3)</f>
        <v>FAIL</v>
      </c>
    </row>
    <row r="9" spans="1:11" ht="18.75" x14ac:dyDescent="0.25">
      <c r="A9" s="47" t="str">
        <f>'Info List'!A8</f>
        <v>BHS9006</v>
      </c>
      <c r="B9" s="48" t="str">
        <f>'Info List'!B8</f>
        <v>ARTHUR LILLIAN ABENA</v>
      </c>
      <c r="C9" s="49">
        <f>'Info List'!C8</f>
        <v>9</v>
      </c>
      <c r="D9" s="59"/>
      <c r="E9" s="32">
        <f t="shared" si="1"/>
        <v>0</v>
      </c>
      <c r="F9" s="50"/>
      <c r="G9" s="32">
        <f t="shared" si="2"/>
        <v>0</v>
      </c>
      <c r="H9" s="51">
        <f t="shared" si="3"/>
        <v>0</v>
      </c>
      <c r="I9" s="44">
        <f t="shared" si="0"/>
        <v>2</v>
      </c>
      <c r="J9" s="44">
        <f t="shared" si="4"/>
        <v>9</v>
      </c>
      <c r="K9" s="44" t="str">
        <f>VLOOKUP(H9,'GRADING SYSTEM'!$D$15:$F$23,3)</f>
        <v>FAIL</v>
      </c>
    </row>
    <row r="10" spans="1:11" ht="18.75" x14ac:dyDescent="0.25">
      <c r="A10" s="47" t="str">
        <f>'Info List'!A9</f>
        <v>BHS9007</v>
      </c>
      <c r="B10" s="48" t="str">
        <f>'Info List'!B9</f>
        <v>ASARE JACOB</v>
      </c>
      <c r="C10" s="49">
        <f>'Info List'!C9</f>
        <v>9</v>
      </c>
      <c r="D10" s="59"/>
      <c r="E10" s="32">
        <f t="shared" si="1"/>
        <v>0</v>
      </c>
      <c r="F10" s="50"/>
      <c r="G10" s="32">
        <f t="shared" si="2"/>
        <v>0</v>
      </c>
      <c r="H10" s="51">
        <f t="shared" si="3"/>
        <v>0</v>
      </c>
      <c r="I10" s="44">
        <f t="shared" si="0"/>
        <v>2</v>
      </c>
      <c r="J10" s="44">
        <f t="shared" si="4"/>
        <v>9</v>
      </c>
      <c r="K10" s="44" t="str">
        <f>VLOOKUP(H10,'GRADING SYSTEM'!$D$15:$F$23,3)</f>
        <v>FAIL</v>
      </c>
    </row>
    <row r="11" spans="1:11" ht="18.75" x14ac:dyDescent="0.25">
      <c r="A11" s="47" t="str">
        <f>'Info List'!A10</f>
        <v>BHS9008</v>
      </c>
      <c r="B11" s="48" t="str">
        <f>'Info List'!B10</f>
        <v>BAAH JOSEPHINE KONADU</v>
      </c>
      <c r="C11" s="49">
        <f>'Info List'!C10</f>
        <v>9</v>
      </c>
      <c r="D11" s="59"/>
      <c r="E11" s="32">
        <f t="shared" si="1"/>
        <v>0</v>
      </c>
      <c r="F11" s="50"/>
      <c r="G11" s="32">
        <f t="shared" si="2"/>
        <v>0</v>
      </c>
      <c r="H11" s="51">
        <f t="shared" si="3"/>
        <v>0</v>
      </c>
      <c r="I11" s="44">
        <f t="shared" si="0"/>
        <v>2</v>
      </c>
      <c r="J11" s="44">
        <f t="shared" si="4"/>
        <v>9</v>
      </c>
      <c r="K11" s="44" t="str">
        <f>VLOOKUP(H11,'GRADING SYSTEM'!$D$15:$F$23,3)</f>
        <v>FAIL</v>
      </c>
    </row>
    <row r="12" spans="1:11" ht="18.75" x14ac:dyDescent="0.25">
      <c r="A12" s="47" t="str">
        <f>'Info List'!A11</f>
        <v>BHS9009</v>
      </c>
      <c r="B12" s="48" t="str">
        <f>'Info List'!B11</f>
        <v>BAIDOO MIDRED</v>
      </c>
      <c r="C12" s="49">
        <f>'Info List'!C11</f>
        <v>9</v>
      </c>
      <c r="D12" s="59"/>
      <c r="E12" s="32">
        <f t="shared" si="1"/>
        <v>0</v>
      </c>
      <c r="F12" s="50"/>
      <c r="G12" s="32">
        <f t="shared" si="2"/>
        <v>0</v>
      </c>
      <c r="H12" s="51">
        <f t="shared" si="3"/>
        <v>0</v>
      </c>
      <c r="I12" s="44">
        <f t="shared" si="0"/>
        <v>2</v>
      </c>
      <c r="J12" s="44">
        <f t="shared" si="4"/>
        <v>9</v>
      </c>
      <c r="K12" s="44" t="str">
        <f>VLOOKUP(H12,'GRADING SYSTEM'!$D$15:$F$23,3)</f>
        <v>FAIL</v>
      </c>
    </row>
    <row r="13" spans="1:11" ht="18.75" x14ac:dyDescent="0.25">
      <c r="A13" s="47" t="str">
        <f>'Info List'!A12</f>
        <v>BHS9010</v>
      </c>
      <c r="B13" s="48" t="str">
        <f>'Info List'!B12</f>
        <v>BOAKYE KELVIN OWUSU</v>
      </c>
      <c r="C13" s="49">
        <f>'Info List'!C12</f>
        <v>9</v>
      </c>
      <c r="D13" s="59"/>
      <c r="E13" s="32">
        <f t="shared" si="1"/>
        <v>0</v>
      </c>
      <c r="F13" s="50"/>
      <c r="G13" s="32">
        <f t="shared" si="2"/>
        <v>0</v>
      </c>
      <c r="H13" s="51">
        <f t="shared" si="3"/>
        <v>0</v>
      </c>
      <c r="I13" s="44">
        <f t="shared" si="0"/>
        <v>2</v>
      </c>
      <c r="J13" s="44">
        <f t="shared" si="4"/>
        <v>9</v>
      </c>
      <c r="K13" s="44" t="str">
        <f>VLOOKUP(H13,'GRADING SYSTEM'!$D$15:$F$23,3)</f>
        <v>FAIL</v>
      </c>
    </row>
    <row r="14" spans="1:11" ht="18.75" x14ac:dyDescent="0.25">
      <c r="A14" s="47" t="str">
        <f>'Info List'!A13</f>
        <v>BHS9011</v>
      </c>
      <c r="B14" s="48" t="str">
        <f>'Info List'!B13</f>
        <v>BOATENG NICHOLAS KELVIN</v>
      </c>
      <c r="C14" s="49">
        <f>'Info List'!C13</f>
        <v>9</v>
      </c>
      <c r="D14" s="59"/>
      <c r="E14" s="32">
        <f t="shared" si="1"/>
        <v>0</v>
      </c>
      <c r="F14" s="50"/>
      <c r="G14" s="32">
        <f t="shared" si="2"/>
        <v>0</v>
      </c>
      <c r="H14" s="51">
        <f t="shared" si="3"/>
        <v>0</v>
      </c>
      <c r="I14" s="44">
        <f t="shared" si="0"/>
        <v>2</v>
      </c>
      <c r="J14" s="44">
        <f t="shared" si="4"/>
        <v>9</v>
      </c>
      <c r="K14" s="44" t="str">
        <f>VLOOKUP(H14,'GRADING SYSTEM'!$D$15:$F$23,3)</f>
        <v>FAIL</v>
      </c>
    </row>
    <row r="15" spans="1:11" ht="18.75" x14ac:dyDescent="0.25">
      <c r="A15" s="47" t="str">
        <f>'Info List'!A14</f>
        <v>BHS9012</v>
      </c>
      <c r="B15" s="48" t="str">
        <f>'Info List'!B14</f>
        <v>CHARKITEY JOSEPH TETTEY EMEKOH</v>
      </c>
      <c r="C15" s="49">
        <f>'Info List'!C14</f>
        <v>9</v>
      </c>
      <c r="D15" s="59"/>
      <c r="E15" s="32">
        <f t="shared" si="1"/>
        <v>0</v>
      </c>
      <c r="F15" s="50"/>
      <c r="G15" s="32">
        <f t="shared" si="2"/>
        <v>0</v>
      </c>
      <c r="H15" s="51">
        <f t="shared" si="3"/>
        <v>0</v>
      </c>
      <c r="I15" s="44">
        <f t="shared" si="0"/>
        <v>2</v>
      </c>
      <c r="J15" s="44">
        <f t="shared" si="4"/>
        <v>9</v>
      </c>
      <c r="K15" s="44" t="str">
        <f>VLOOKUP(H15,'GRADING SYSTEM'!$D$15:$F$23,3)</f>
        <v>FAIL</v>
      </c>
    </row>
    <row r="16" spans="1:11" ht="18.75" x14ac:dyDescent="0.25">
      <c r="A16" s="47" t="str">
        <f>'Info List'!A15</f>
        <v>BHS9013</v>
      </c>
      <c r="B16" s="48" t="str">
        <f>'Info List'!B15</f>
        <v>DANKWAH AMA JANEL</v>
      </c>
      <c r="C16" s="49">
        <f>'Info List'!C15</f>
        <v>9</v>
      </c>
      <c r="D16" s="59"/>
      <c r="E16" s="32">
        <f t="shared" si="1"/>
        <v>0</v>
      </c>
      <c r="F16" s="50"/>
      <c r="G16" s="32">
        <f t="shared" si="2"/>
        <v>0</v>
      </c>
      <c r="H16" s="51">
        <f t="shared" si="3"/>
        <v>0</v>
      </c>
      <c r="I16" s="44">
        <f t="shared" si="0"/>
        <v>2</v>
      </c>
      <c r="J16" s="44">
        <f t="shared" si="4"/>
        <v>9</v>
      </c>
      <c r="K16" s="44" t="str">
        <f>VLOOKUP(H16,'GRADING SYSTEM'!$D$15:$F$23,3)</f>
        <v>FAIL</v>
      </c>
    </row>
    <row r="17" spans="1:11" ht="18.75" x14ac:dyDescent="0.25">
      <c r="A17" s="47" t="str">
        <f>'Info List'!A16</f>
        <v>BHS9014</v>
      </c>
      <c r="B17" s="48" t="str">
        <f>'Info List'!B16</f>
        <v>DANKWAH SHANTEL</v>
      </c>
      <c r="C17" s="49">
        <f>'Info List'!C16</f>
        <v>9</v>
      </c>
      <c r="D17" s="59"/>
      <c r="E17" s="32">
        <f t="shared" si="1"/>
        <v>0</v>
      </c>
      <c r="F17" s="50"/>
      <c r="G17" s="32">
        <f t="shared" si="2"/>
        <v>0</v>
      </c>
      <c r="H17" s="51">
        <f t="shared" si="3"/>
        <v>0</v>
      </c>
      <c r="I17" s="44">
        <f t="shared" si="0"/>
        <v>2</v>
      </c>
      <c r="J17" s="44">
        <f t="shared" si="4"/>
        <v>9</v>
      </c>
      <c r="K17" s="44" t="str">
        <f>VLOOKUP(H17,'GRADING SYSTEM'!$D$15:$F$23,3)</f>
        <v>FAIL</v>
      </c>
    </row>
    <row r="18" spans="1:11" ht="18.75" x14ac:dyDescent="0.25">
      <c r="A18" s="47" t="str">
        <f>'Info List'!A17</f>
        <v>BHS9015</v>
      </c>
      <c r="B18" s="48" t="str">
        <f>'Info List'!B17</f>
        <v>ESSILFIE ENOCH</v>
      </c>
      <c r="C18" s="49">
        <f>'Info List'!C17</f>
        <v>9</v>
      </c>
      <c r="D18" s="59"/>
      <c r="E18" s="32">
        <f t="shared" si="1"/>
        <v>0</v>
      </c>
      <c r="F18" s="50"/>
      <c r="G18" s="32">
        <f t="shared" si="2"/>
        <v>0</v>
      </c>
      <c r="H18" s="51">
        <f t="shared" si="3"/>
        <v>0</v>
      </c>
      <c r="I18" s="44">
        <f t="shared" si="0"/>
        <v>2</v>
      </c>
      <c r="J18" s="44">
        <f t="shared" si="4"/>
        <v>9</v>
      </c>
      <c r="K18" s="44" t="str">
        <f>VLOOKUP(H18,'GRADING SYSTEM'!$D$15:$F$23,3)</f>
        <v>FAIL</v>
      </c>
    </row>
    <row r="19" spans="1:11" ht="18.75" x14ac:dyDescent="0.25">
      <c r="A19" s="47" t="str">
        <f>'Info List'!A18</f>
        <v>BHS9016</v>
      </c>
      <c r="B19" s="48" t="str">
        <f>'Info List'!B18</f>
        <v>GANDAA LINDA</v>
      </c>
      <c r="C19" s="49">
        <f>'Info List'!C18</f>
        <v>9</v>
      </c>
      <c r="D19" s="59"/>
      <c r="E19" s="32">
        <f t="shared" si="1"/>
        <v>0</v>
      </c>
      <c r="F19" s="50"/>
      <c r="G19" s="32">
        <f t="shared" si="2"/>
        <v>0</v>
      </c>
      <c r="H19" s="51">
        <f t="shared" si="3"/>
        <v>0</v>
      </c>
      <c r="I19" s="44">
        <f t="shared" si="0"/>
        <v>2</v>
      </c>
      <c r="J19" s="44">
        <f t="shared" si="4"/>
        <v>9</v>
      </c>
      <c r="K19" s="44" t="str">
        <f>VLOOKUP(H19,'GRADING SYSTEM'!$D$15:$F$23,3)</f>
        <v>FAIL</v>
      </c>
    </row>
    <row r="20" spans="1:11" ht="18.75" x14ac:dyDescent="0.25">
      <c r="A20" s="47" t="str">
        <f>'Info List'!A19</f>
        <v>BHS9017</v>
      </c>
      <c r="B20" s="48" t="str">
        <f>'Info List'!B19</f>
        <v>GEORGINA DUSHIE QUEENSTAR</v>
      </c>
      <c r="C20" s="49">
        <f>'Info List'!C19</f>
        <v>9</v>
      </c>
      <c r="D20" s="59"/>
      <c r="E20" s="32">
        <f t="shared" si="1"/>
        <v>0</v>
      </c>
      <c r="F20" s="50"/>
      <c r="G20" s="32">
        <f t="shared" si="2"/>
        <v>0</v>
      </c>
      <c r="H20" s="51">
        <f t="shared" si="3"/>
        <v>0</v>
      </c>
      <c r="I20" s="44">
        <f t="shared" si="0"/>
        <v>2</v>
      </c>
      <c r="J20" s="44">
        <f t="shared" si="4"/>
        <v>9</v>
      </c>
      <c r="K20" s="44" t="str">
        <f>VLOOKUP(H20,'GRADING SYSTEM'!$D$15:$F$23,3)</f>
        <v>FAIL</v>
      </c>
    </row>
    <row r="21" spans="1:11" ht="18.75" x14ac:dyDescent="0.25">
      <c r="A21" s="47" t="str">
        <f>'Info List'!A20</f>
        <v>BHS9018</v>
      </c>
      <c r="B21" s="48" t="str">
        <f>'Info List'!B20</f>
        <v>GYAKYE AMPONSAH EKUA</v>
      </c>
      <c r="C21" s="49">
        <f>'Info List'!C20</f>
        <v>9</v>
      </c>
      <c r="D21" s="59"/>
      <c r="E21" s="32">
        <f t="shared" si="1"/>
        <v>0</v>
      </c>
      <c r="F21" s="50"/>
      <c r="G21" s="32">
        <f t="shared" si="2"/>
        <v>0</v>
      </c>
      <c r="H21" s="51">
        <f t="shared" si="3"/>
        <v>0</v>
      </c>
      <c r="I21" s="44">
        <f t="shared" si="0"/>
        <v>2</v>
      </c>
      <c r="J21" s="44">
        <f t="shared" si="4"/>
        <v>9</v>
      </c>
      <c r="K21" s="44" t="str">
        <f>VLOOKUP(H21,'GRADING SYSTEM'!$D$15:$F$23,3)</f>
        <v>FAIL</v>
      </c>
    </row>
    <row r="22" spans="1:11" ht="18.75" x14ac:dyDescent="0.25">
      <c r="A22" s="47" t="str">
        <f>'Info List'!A21</f>
        <v>BHS9019</v>
      </c>
      <c r="B22" s="48" t="str">
        <f>'Info List'!B21</f>
        <v>MENSAH GLORIA KUSI</v>
      </c>
      <c r="C22" s="49">
        <f>'Info List'!C21</f>
        <v>9</v>
      </c>
      <c r="D22" s="59"/>
      <c r="E22" s="32">
        <f t="shared" si="1"/>
        <v>0</v>
      </c>
      <c r="F22" s="50"/>
      <c r="G22" s="32">
        <f t="shared" si="2"/>
        <v>0</v>
      </c>
      <c r="H22" s="51">
        <f t="shared" si="3"/>
        <v>0</v>
      </c>
      <c r="I22" s="44">
        <f t="shared" si="0"/>
        <v>2</v>
      </c>
      <c r="J22" s="44">
        <f t="shared" si="4"/>
        <v>9</v>
      </c>
      <c r="K22" s="44" t="str">
        <f>VLOOKUP(H22,'GRADING SYSTEM'!$D$15:$F$23,3)</f>
        <v>FAIL</v>
      </c>
    </row>
    <row r="23" spans="1:11" ht="18.75" x14ac:dyDescent="0.25">
      <c r="A23" s="47" t="str">
        <f>'Info List'!A22</f>
        <v>BHS9020</v>
      </c>
      <c r="B23" s="48" t="str">
        <f>'Info List'!B22</f>
        <v>MENSAH KWASI BLESS</v>
      </c>
      <c r="C23" s="49">
        <f>'Info List'!C22</f>
        <v>9</v>
      </c>
      <c r="D23" s="59"/>
      <c r="E23" s="32">
        <f t="shared" si="1"/>
        <v>0</v>
      </c>
      <c r="F23" s="50"/>
      <c r="G23" s="32">
        <f t="shared" si="2"/>
        <v>0</v>
      </c>
      <c r="H23" s="51">
        <f t="shared" si="3"/>
        <v>0</v>
      </c>
      <c r="I23" s="44">
        <f t="shared" si="0"/>
        <v>2</v>
      </c>
      <c r="J23" s="44">
        <f t="shared" si="4"/>
        <v>9</v>
      </c>
      <c r="K23" s="44" t="str">
        <f>VLOOKUP(H23,'GRADING SYSTEM'!$D$15:$F$23,3)</f>
        <v>FAIL</v>
      </c>
    </row>
    <row r="24" spans="1:11" ht="18.75" x14ac:dyDescent="0.25">
      <c r="A24" s="47" t="str">
        <f>'Info List'!A23</f>
        <v>BHS9021</v>
      </c>
      <c r="B24" s="48" t="str">
        <f>'Info List'!B23</f>
        <v>MENSAH SHADRACK</v>
      </c>
      <c r="C24" s="49">
        <f>'Info List'!C23</f>
        <v>9</v>
      </c>
      <c r="D24" s="59"/>
      <c r="E24" s="32">
        <f t="shared" ref="E24:E25" si="5">0.5*D24</f>
        <v>0</v>
      </c>
      <c r="F24" s="50"/>
      <c r="G24" s="32">
        <f t="shared" ref="G24:G25" si="6">0.5*F24</f>
        <v>0</v>
      </c>
      <c r="H24" s="51">
        <f t="shared" ref="H24:H25" si="7">E24+G24</f>
        <v>0</v>
      </c>
      <c r="I24" s="44">
        <f t="shared" si="0"/>
        <v>2</v>
      </c>
      <c r="J24" s="44">
        <f t="shared" ref="J24:J25" si="8">IF(H24&gt;79.5, 1, IF(H24&gt;69.5, 2, IF(H24&gt;59.5, 3, IF(H24&gt;54.5, 4, IF(H24&gt;49.5, 5, IF(H24&gt;44.5, 6, IF(H24&gt;39.5, 7, IF(H24&gt;33.5, 8, IF(H24&gt;-1, 9)))))))))</f>
        <v>9</v>
      </c>
      <c r="K24" s="44" t="str">
        <f>VLOOKUP(H24,'GRADING SYSTEM'!$D$15:$F$23,3)</f>
        <v>FAIL</v>
      </c>
    </row>
    <row r="25" spans="1:11" ht="18.75" x14ac:dyDescent="0.25">
      <c r="A25" s="47" t="str">
        <f>'Info List'!A24</f>
        <v>BHS9022</v>
      </c>
      <c r="B25" s="48" t="str">
        <f>'Info List'!B24</f>
        <v>OFORI RODLYNE NANA ADOMA</v>
      </c>
      <c r="C25" s="49">
        <f>'Info List'!C24</f>
        <v>9</v>
      </c>
      <c r="D25" s="59"/>
      <c r="E25" s="32">
        <f t="shared" si="5"/>
        <v>0</v>
      </c>
      <c r="F25" s="50"/>
      <c r="G25" s="32">
        <f t="shared" si="6"/>
        <v>0</v>
      </c>
      <c r="H25" s="51">
        <f t="shared" si="7"/>
        <v>0</v>
      </c>
      <c r="I25" s="44">
        <f t="shared" si="0"/>
        <v>2</v>
      </c>
      <c r="J25" s="44">
        <f t="shared" si="8"/>
        <v>9</v>
      </c>
      <c r="K25" s="44" t="str">
        <f>VLOOKUP(H25,'GRADING SYSTEM'!$D$15:$F$23,3)</f>
        <v>FAIL</v>
      </c>
    </row>
    <row r="26" spans="1:11" ht="18.75" x14ac:dyDescent="0.25">
      <c r="A26" s="47" t="str">
        <f>'Info List'!A25</f>
        <v>BHS9023</v>
      </c>
      <c r="B26" s="48" t="str">
        <f>'Info List'!B25</f>
        <v>OPOKU JOEL ODURO SARPONG</v>
      </c>
      <c r="C26" s="49">
        <f>'Info List'!C25</f>
        <v>9</v>
      </c>
      <c r="D26" s="59"/>
      <c r="E26" s="32">
        <f t="shared" ref="E26:E29" si="9">0.5*D26</f>
        <v>0</v>
      </c>
      <c r="F26" s="50"/>
      <c r="G26" s="32">
        <f t="shared" ref="G26:G29" si="10">0.5*F26</f>
        <v>0</v>
      </c>
      <c r="H26" s="51">
        <f t="shared" ref="H26:H29" si="11">E26+G26</f>
        <v>0</v>
      </c>
      <c r="I26" s="44">
        <f t="shared" si="0"/>
        <v>2</v>
      </c>
      <c r="J26" s="44">
        <f t="shared" ref="J26:J29" si="12">IF(H26&gt;79.5, 1, IF(H26&gt;69.5, 2, IF(H26&gt;59.5, 3, IF(H26&gt;54.5, 4, IF(H26&gt;49.5, 5, IF(H26&gt;44.5, 6, IF(H26&gt;39.5, 7, IF(H26&gt;33.5, 8, IF(H26&gt;-1, 9)))))))))</f>
        <v>9</v>
      </c>
      <c r="K26" s="44" t="str">
        <f>VLOOKUP(H26,'GRADING SYSTEM'!$D$15:$F$23,3)</f>
        <v>FAIL</v>
      </c>
    </row>
    <row r="27" spans="1:11" ht="18.75" x14ac:dyDescent="0.25">
      <c r="A27" s="47" t="str">
        <f>'Info List'!A26</f>
        <v>BHS9024</v>
      </c>
      <c r="B27" s="48" t="str">
        <f>'Info List'!B26</f>
        <v>OPPONG NHYIRABA</v>
      </c>
      <c r="C27" s="49">
        <f>'Info List'!C26</f>
        <v>9</v>
      </c>
      <c r="D27" s="59"/>
      <c r="E27" s="32">
        <f t="shared" si="9"/>
        <v>0</v>
      </c>
      <c r="F27" s="50"/>
      <c r="G27" s="32">
        <f t="shared" si="10"/>
        <v>0</v>
      </c>
      <c r="H27" s="51">
        <f t="shared" si="11"/>
        <v>0</v>
      </c>
      <c r="I27" s="44">
        <f t="shared" si="0"/>
        <v>2</v>
      </c>
      <c r="J27" s="44">
        <f t="shared" si="12"/>
        <v>9</v>
      </c>
      <c r="K27" s="44" t="str">
        <f>VLOOKUP(H27,'GRADING SYSTEM'!$D$15:$F$23,3)</f>
        <v>FAIL</v>
      </c>
    </row>
    <row r="28" spans="1:11" ht="18.75" x14ac:dyDescent="0.25">
      <c r="A28" s="47" t="str">
        <f>'Info List'!A27</f>
        <v>BHS9025</v>
      </c>
      <c r="B28" s="48" t="str">
        <f>'Info List'!B27</f>
        <v>OPPONG NYAMEBA YAA</v>
      </c>
      <c r="C28" s="49">
        <f>'Info List'!C27</f>
        <v>9</v>
      </c>
      <c r="D28" s="59"/>
      <c r="E28" s="32">
        <f t="shared" si="9"/>
        <v>0</v>
      </c>
      <c r="F28" s="50"/>
      <c r="G28" s="32">
        <f t="shared" si="10"/>
        <v>0</v>
      </c>
      <c r="H28" s="51">
        <f t="shared" si="11"/>
        <v>0</v>
      </c>
      <c r="I28" s="44">
        <f t="shared" si="0"/>
        <v>2</v>
      </c>
      <c r="J28" s="44">
        <f t="shared" si="12"/>
        <v>9</v>
      </c>
      <c r="K28" s="44" t="str">
        <f>VLOOKUP(H28,'GRADING SYSTEM'!$D$15:$F$23,3)</f>
        <v>FAIL</v>
      </c>
    </row>
    <row r="29" spans="1:11" ht="18.75" x14ac:dyDescent="0.25">
      <c r="A29" s="47" t="str">
        <f>'Info List'!A28</f>
        <v>BHS9026</v>
      </c>
      <c r="B29" s="48" t="str">
        <f>'Info List'!B28</f>
        <v>QUARCOO JESSICA</v>
      </c>
      <c r="C29" s="49">
        <f>'Info List'!C28</f>
        <v>9</v>
      </c>
      <c r="D29" s="59"/>
      <c r="E29" s="32">
        <f t="shared" si="9"/>
        <v>0</v>
      </c>
      <c r="F29" s="50"/>
      <c r="G29" s="32">
        <f t="shared" si="10"/>
        <v>0</v>
      </c>
      <c r="H29" s="51">
        <f t="shared" si="11"/>
        <v>0</v>
      </c>
      <c r="I29" s="44">
        <f t="shared" si="0"/>
        <v>2</v>
      </c>
      <c r="J29" s="44">
        <f t="shared" si="12"/>
        <v>9</v>
      </c>
      <c r="K29" s="44" t="str">
        <f>VLOOKUP(H29,'GRADING SYSTEM'!$D$15:$F$23,3)</f>
        <v>FAIL</v>
      </c>
    </row>
    <row r="30" spans="1:11" ht="18.75" x14ac:dyDescent="0.25">
      <c r="A30" s="47" t="str">
        <f>'Info List'!A29</f>
        <v>BHS9027</v>
      </c>
      <c r="B30" s="48" t="str">
        <f>'Info List'!B29</f>
        <v>GAKPETOR ISAIAH</v>
      </c>
      <c r="C30" s="49">
        <f>'Info List'!C29</f>
        <v>9</v>
      </c>
      <c r="D30" s="59"/>
      <c r="E30" s="32">
        <f t="shared" ref="E30:E32" si="13">0.5*D30</f>
        <v>0</v>
      </c>
      <c r="F30" s="50"/>
      <c r="G30" s="32">
        <f t="shared" ref="G30:G32" si="14">0.5*F30</f>
        <v>0</v>
      </c>
      <c r="H30" s="51">
        <f t="shared" ref="H30:H32" si="15">E30+G30</f>
        <v>0</v>
      </c>
      <c r="I30" s="44">
        <f t="shared" si="0"/>
        <v>2</v>
      </c>
      <c r="J30" s="44">
        <f t="shared" ref="J30:J32" si="16">IF(H30&gt;79.5, 1, IF(H30&gt;69.5, 2, IF(H30&gt;59.5, 3, IF(H30&gt;54.5, 4, IF(H30&gt;49.5, 5, IF(H30&gt;44.5, 6, IF(H30&gt;39.5, 7, IF(H30&gt;33.5, 8, IF(H30&gt;-1, 9)))))))))</f>
        <v>9</v>
      </c>
      <c r="K30" s="44" t="str">
        <f>VLOOKUP(H30,'GRADING SYSTEM'!$D$15:$F$23,3)</f>
        <v>FAIL</v>
      </c>
    </row>
    <row r="31" spans="1:11" ht="18.75" x14ac:dyDescent="0.25">
      <c r="A31" s="47" t="str">
        <f>'Info List'!A30</f>
        <v>BHS9028</v>
      </c>
      <c r="B31" s="48" t="str">
        <f>'Info List'!B30</f>
        <v>SUDAIS ABDUL RAHMAN MUSA</v>
      </c>
      <c r="C31" s="49">
        <f>'Info List'!C30</f>
        <v>9</v>
      </c>
      <c r="D31" s="59"/>
      <c r="E31" s="32">
        <f t="shared" si="13"/>
        <v>0</v>
      </c>
      <c r="F31" s="50"/>
      <c r="G31" s="32">
        <f t="shared" si="14"/>
        <v>0</v>
      </c>
      <c r="H31" s="51">
        <f t="shared" si="15"/>
        <v>0</v>
      </c>
      <c r="I31" s="44">
        <f t="shared" si="0"/>
        <v>2</v>
      </c>
      <c r="J31" s="44">
        <f t="shared" si="16"/>
        <v>9</v>
      </c>
      <c r="K31" s="44" t="str">
        <f>VLOOKUP(H31,'GRADING SYSTEM'!$D$15:$F$23,3)</f>
        <v>FAIL</v>
      </c>
    </row>
    <row r="32" spans="1:11" ht="18.75" x14ac:dyDescent="0.25">
      <c r="A32" s="47" t="str">
        <f>'Info List'!A31</f>
        <v>BHS9029</v>
      </c>
      <c r="B32" s="48" t="str">
        <f>'Info List'!B31</f>
        <v>YEVAKPOR SYLVIA EYRAM</v>
      </c>
      <c r="C32" s="49">
        <f>'Info List'!C31</f>
        <v>9</v>
      </c>
      <c r="D32" s="59"/>
      <c r="E32" s="32">
        <f t="shared" si="13"/>
        <v>0</v>
      </c>
      <c r="F32" s="50"/>
      <c r="G32" s="32">
        <f t="shared" si="14"/>
        <v>0</v>
      </c>
      <c r="H32" s="51">
        <f t="shared" si="15"/>
        <v>0</v>
      </c>
      <c r="I32" s="44">
        <f t="shared" si="0"/>
        <v>2</v>
      </c>
      <c r="J32" s="44">
        <f t="shared" si="16"/>
        <v>9</v>
      </c>
      <c r="K32" s="44" t="str">
        <f>VLOOKUP(H32,'GRADING SYSTEM'!$D$15:$F$23,3)</f>
        <v>FAIL</v>
      </c>
    </row>
  </sheetData>
  <mergeCells count="6">
    <mergeCell ref="A1:K1"/>
    <mergeCell ref="B2:B3"/>
    <mergeCell ref="C2:C3"/>
    <mergeCell ref="I2:I3"/>
    <mergeCell ref="J2:J3"/>
    <mergeCell ref="K2:K3"/>
  </mergeCells>
  <dataValidations count="1">
    <dataValidation type="whole" allowBlank="1" showInputMessage="1" showErrorMessage="1" errorTitle="WRONG ENTRY" error="Enter marks from 0 to 100" sqref="G4:G32" xr:uid="{00000000-0002-0000-0500-000000000000}">
      <formula1>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2588AB"/>
  </sheetPr>
  <dimension ref="A1:K32"/>
  <sheetViews>
    <sheetView zoomScale="90" zoomScaleNormal="90" workbookViewId="0">
      <selection activeCell="F5" sqref="F5"/>
    </sheetView>
  </sheetViews>
  <sheetFormatPr defaultRowHeight="15" x14ac:dyDescent="0.25"/>
  <cols>
    <col min="1" max="1" width="13.85546875" customWidth="1"/>
    <col min="2" max="2" width="48.5703125" customWidth="1"/>
    <col min="3" max="3" width="10.140625" customWidth="1"/>
    <col min="5" max="6" width="12.7109375" customWidth="1"/>
    <col min="7" max="7" width="13.140625" customWidth="1"/>
    <col min="8" max="8" width="14.28515625" customWidth="1"/>
    <col min="9" max="9" width="10.5703125" customWidth="1"/>
    <col min="11" max="11" width="31" customWidth="1"/>
  </cols>
  <sheetData>
    <row r="1" spans="1:11" ht="33.75" x14ac:dyDescent="0.25">
      <c r="A1" s="90" t="s">
        <v>58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45" customHeight="1" x14ac:dyDescent="0.25">
      <c r="A2" s="17" t="s">
        <v>9</v>
      </c>
      <c r="B2" s="88" t="s">
        <v>2</v>
      </c>
      <c r="C2" s="88" t="s">
        <v>3</v>
      </c>
      <c r="D2" s="4" t="s">
        <v>10</v>
      </c>
      <c r="E2" s="45" t="s">
        <v>11</v>
      </c>
      <c r="F2" s="9" t="s">
        <v>57</v>
      </c>
      <c r="G2" s="45" t="s">
        <v>12</v>
      </c>
      <c r="H2" s="5" t="s">
        <v>14</v>
      </c>
      <c r="I2" s="88" t="s">
        <v>15</v>
      </c>
      <c r="J2" s="89" t="s">
        <v>16</v>
      </c>
      <c r="K2" s="88" t="s">
        <v>17</v>
      </c>
    </row>
    <row r="3" spans="1:11" ht="15" customHeight="1" x14ac:dyDescent="0.25">
      <c r="A3" s="17"/>
      <c r="B3" s="88"/>
      <c r="C3" s="88"/>
      <c r="D3" s="53">
        <v>1</v>
      </c>
      <c r="E3" s="53" t="s">
        <v>18</v>
      </c>
      <c r="F3" s="53">
        <v>1</v>
      </c>
      <c r="G3" s="53" t="s">
        <v>136</v>
      </c>
      <c r="H3" s="52" t="s">
        <v>137</v>
      </c>
      <c r="I3" s="88"/>
      <c r="J3" s="89"/>
      <c r="K3" s="88"/>
    </row>
    <row r="4" spans="1:11" ht="18.75" x14ac:dyDescent="0.25">
      <c r="A4" s="47" t="str">
        <f>'Info List'!A3</f>
        <v>BHS9001</v>
      </c>
      <c r="B4" s="48" t="str">
        <f>'Info List'!B3</f>
        <v>ABRAKWAH EVA OWUSUAA</v>
      </c>
      <c r="C4" s="49">
        <f>'Info List'!C3</f>
        <v>9</v>
      </c>
      <c r="D4" s="59">
        <v>98</v>
      </c>
      <c r="E4" s="32">
        <f>0.5*D4</f>
        <v>49</v>
      </c>
      <c r="F4" s="60">
        <v>94</v>
      </c>
      <c r="G4" s="32">
        <f>0.5*F4</f>
        <v>47</v>
      </c>
      <c r="H4" s="51">
        <f>E4+G4</f>
        <v>96</v>
      </c>
      <c r="I4" s="44">
        <f t="shared" ref="I4:I32" si="0">RANK(H4,$H$4:$H$32)</f>
        <v>1</v>
      </c>
      <c r="J4" s="44">
        <f>IF(H4&gt;79.5, 1, IF(H4&gt;69.5, 2, IF(H4&gt;59.5, 3, IF(H4&gt;54.5, 4, IF(H4&gt;49.5, 5, IF(H4&gt;44.5, 6, IF(H4&gt;39.5, 7, IF(H4&gt;33.5, 8, IF(H4&gt;-1, 9)))))))))</f>
        <v>1</v>
      </c>
      <c r="K4" s="44" t="str">
        <f>VLOOKUP(H4,'GRADING SYSTEM'!$D$15:$F$23,3)</f>
        <v>EXCELLENT</v>
      </c>
    </row>
    <row r="5" spans="1:11" ht="18.75" x14ac:dyDescent="0.25">
      <c r="A5" s="47" t="str">
        <f>'Info List'!A4</f>
        <v>BHS9002</v>
      </c>
      <c r="B5" s="48" t="str">
        <f>'Info List'!B4</f>
        <v>ADZILAFU EDWARD</v>
      </c>
      <c r="C5" s="49">
        <f>'Info List'!C4</f>
        <v>9</v>
      </c>
      <c r="D5" s="59"/>
      <c r="E5" s="32">
        <f t="shared" ref="E5:E23" si="1">0.5*D5</f>
        <v>0</v>
      </c>
      <c r="F5" s="60"/>
      <c r="G5" s="32">
        <f t="shared" ref="G5:G23" si="2">0.5*F5</f>
        <v>0</v>
      </c>
      <c r="H5" s="51">
        <f t="shared" ref="H5:H23" si="3">E5+G5</f>
        <v>0</v>
      </c>
      <c r="I5" s="44">
        <f t="shared" si="0"/>
        <v>2</v>
      </c>
      <c r="J5" s="44">
        <f t="shared" ref="J5:J23" si="4">IF(H5&gt;79.5, 1, IF(H5&gt;69.5, 2, IF(H5&gt;59.5, 3, IF(H5&gt;54.5, 4, IF(H5&gt;49.5, 5, IF(H5&gt;44.5, 6, IF(H5&gt;39.5, 7, IF(H5&gt;33.5, 8, IF(H5&gt;-1, 9)))))))))</f>
        <v>9</v>
      </c>
      <c r="K5" s="44" t="str">
        <f>VLOOKUP(H5,'GRADING SYSTEM'!$D$15:$F$23,3)</f>
        <v>FAIL</v>
      </c>
    </row>
    <row r="6" spans="1:11" ht="18.75" x14ac:dyDescent="0.25">
      <c r="A6" s="47" t="str">
        <f>'Info List'!A5</f>
        <v>BHS9003</v>
      </c>
      <c r="B6" s="48" t="str">
        <f>'Info List'!B5</f>
        <v>AGYEPONG DASEBRE</v>
      </c>
      <c r="C6" s="49">
        <f>'Info List'!C5</f>
        <v>9</v>
      </c>
      <c r="D6" s="59"/>
      <c r="E6" s="32">
        <f t="shared" si="1"/>
        <v>0</v>
      </c>
      <c r="F6" s="60"/>
      <c r="G6" s="32">
        <f t="shared" si="2"/>
        <v>0</v>
      </c>
      <c r="H6" s="51">
        <f t="shared" si="3"/>
        <v>0</v>
      </c>
      <c r="I6" s="44">
        <f t="shared" si="0"/>
        <v>2</v>
      </c>
      <c r="J6" s="44">
        <f t="shared" si="4"/>
        <v>9</v>
      </c>
      <c r="K6" s="44" t="str">
        <f>VLOOKUP(H6,'GRADING SYSTEM'!$D$15:$F$23,3)</f>
        <v>FAIL</v>
      </c>
    </row>
    <row r="7" spans="1:11" ht="18.75" x14ac:dyDescent="0.25">
      <c r="A7" s="47" t="str">
        <f>'Info List'!A6</f>
        <v>BHS9004</v>
      </c>
      <c r="B7" s="48" t="str">
        <f>'Info List'!B6</f>
        <v>ANIWA JOANA SEYRAM</v>
      </c>
      <c r="C7" s="49">
        <f>'Info List'!C6</f>
        <v>9</v>
      </c>
      <c r="D7" s="59"/>
      <c r="E7" s="32">
        <f t="shared" si="1"/>
        <v>0</v>
      </c>
      <c r="F7" s="60"/>
      <c r="G7" s="32">
        <f t="shared" si="2"/>
        <v>0</v>
      </c>
      <c r="H7" s="51">
        <f t="shared" si="3"/>
        <v>0</v>
      </c>
      <c r="I7" s="44">
        <f t="shared" si="0"/>
        <v>2</v>
      </c>
      <c r="J7" s="44">
        <f t="shared" si="4"/>
        <v>9</v>
      </c>
      <c r="K7" s="44" t="str">
        <f>VLOOKUP(H7,'GRADING SYSTEM'!$D$15:$F$23,3)</f>
        <v>FAIL</v>
      </c>
    </row>
    <row r="8" spans="1:11" ht="18.75" x14ac:dyDescent="0.25">
      <c r="A8" s="47" t="str">
        <f>'Info List'!A7</f>
        <v>BHS9005</v>
      </c>
      <c r="B8" s="48" t="str">
        <f>'Info List'!B7</f>
        <v>ANNAN AGNES</v>
      </c>
      <c r="C8" s="49">
        <f>'Info List'!C7</f>
        <v>9</v>
      </c>
      <c r="D8" s="59"/>
      <c r="E8" s="32">
        <f t="shared" si="1"/>
        <v>0</v>
      </c>
      <c r="F8" s="60"/>
      <c r="G8" s="32">
        <f t="shared" si="2"/>
        <v>0</v>
      </c>
      <c r="H8" s="51">
        <f t="shared" si="3"/>
        <v>0</v>
      </c>
      <c r="I8" s="44">
        <f t="shared" si="0"/>
        <v>2</v>
      </c>
      <c r="J8" s="44">
        <f t="shared" si="4"/>
        <v>9</v>
      </c>
      <c r="K8" s="44" t="str">
        <f>VLOOKUP(H8,'GRADING SYSTEM'!$D$15:$F$23,3)</f>
        <v>FAIL</v>
      </c>
    </row>
    <row r="9" spans="1:11" ht="18.75" x14ac:dyDescent="0.25">
      <c r="A9" s="47" t="str">
        <f>'Info List'!A8</f>
        <v>BHS9006</v>
      </c>
      <c r="B9" s="48" t="str">
        <f>'Info List'!B8</f>
        <v>ARTHUR LILLIAN ABENA</v>
      </c>
      <c r="C9" s="49">
        <f>'Info List'!C8</f>
        <v>9</v>
      </c>
      <c r="D9" s="59"/>
      <c r="E9" s="32">
        <f t="shared" si="1"/>
        <v>0</v>
      </c>
      <c r="F9" s="60"/>
      <c r="G9" s="32">
        <f t="shared" si="2"/>
        <v>0</v>
      </c>
      <c r="H9" s="51">
        <f t="shared" si="3"/>
        <v>0</v>
      </c>
      <c r="I9" s="44">
        <f t="shared" si="0"/>
        <v>2</v>
      </c>
      <c r="J9" s="44">
        <f t="shared" si="4"/>
        <v>9</v>
      </c>
      <c r="K9" s="44" t="str">
        <f>VLOOKUP(H9,'GRADING SYSTEM'!$D$15:$F$23,3)</f>
        <v>FAIL</v>
      </c>
    </row>
    <row r="10" spans="1:11" ht="18.75" x14ac:dyDescent="0.25">
      <c r="A10" s="47" t="str">
        <f>'Info List'!A9</f>
        <v>BHS9007</v>
      </c>
      <c r="B10" s="48" t="str">
        <f>'Info List'!B9</f>
        <v>ASARE JACOB</v>
      </c>
      <c r="C10" s="49">
        <f>'Info List'!C9</f>
        <v>9</v>
      </c>
      <c r="D10" s="59"/>
      <c r="E10" s="32">
        <f t="shared" si="1"/>
        <v>0</v>
      </c>
      <c r="F10" s="60"/>
      <c r="G10" s="32">
        <f t="shared" si="2"/>
        <v>0</v>
      </c>
      <c r="H10" s="51">
        <f t="shared" si="3"/>
        <v>0</v>
      </c>
      <c r="I10" s="44">
        <f t="shared" si="0"/>
        <v>2</v>
      </c>
      <c r="J10" s="44">
        <f t="shared" si="4"/>
        <v>9</v>
      </c>
      <c r="K10" s="44" t="str">
        <f>VLOOKUP(H10,'GRADING SYSTEM'!$D$15:$F$23,3)</f>
        <v>FAIL</v>
      </c>
    </row>
    <row r="11" spans="1:11" ht="18.75" x14ac:dyDescent="0.25">
      <c r="A11" s="47" t="str">
        <f>'Info List'!A10</f>
        <v>BHS9008</v>
      </c>
      <c r="B11" s="48" t="str">
        <f>'Info List'!B10</f>
        <v>BAAH JOSEPHINE KONADU</v>
      </c>
      <c r="C11" s="49">
        <f>'Info List'!C10</f>
        <v>9</v>
      </c>
      <c r="D11" s="59"/>
      <c r="E11" s="32">
        <f t="shared" si="1"/>
        <v>0</v>
      </c>
      <c r="F11" s="60"/>
      <c r="G11" s="32">
        <f t="shared" si="2"/>
        <v>0</v>
      </c>
      <c r="H11" s="51">
        <f t="shared" si="3"/>
        <v>0</v>
      </c>
      <c r="I11" s="44">
        <f t="shared" si="0"/>
        <v>2</v>
      </c>
      <c r="J11" s="44">
        <f t="shared" si="4"/>
        <v>9</v>
      </c>
      <c r="K11" s="44" t="str">
        <f>VLOOKUP(H11,'GRADING SYSTEM'!$D$15:$F$23,3)</f>
        <v>FAIL</v>
      </c>
    </row>
    <row r="12" spans="1:11" ht="18.75" x14ac:dyDescent="0.25">
      <c r="A12" s="47" t="str">
        <f>'Info List'!A11</f>
        <v>BHS9009</v>
      </c>
      <c r="B12" s="48" t="str">
        <f>'Info List'!B11</f>
        <v>BAIDOO MIDRED</v>
      </c>
      <c r="C12" s="49">
        <f>'Info List'!C11</f>
        <v>9</v>
      </c>
      <c r="D12" s="59"/>
      <c r="E12" s="32">
        <f t="shared" si="1"/>
        <v>0</v>
      </c>
      <c r="F12" s="60"/>
      <c r="G12" s="32">
        <f t="shared" si="2"/>
        <v>0</v>
      </c>
      <c r="H12" s="51">
        <f t="shared" si="3"/>
        <v>0</v>
      </c>
      <c r="I12" s="44">
        <f t="shared" si="0"/>
        <v>2</v>
      </c>
      <c r="J12" s="44">
        <f t="shared" si="4"/>
        <v>9</v>
      </c>
      <c r="K12" s="44" t="str">
        <f>VLOOKUP(H12,'GRADING SYSTEM'!$D$15:$F$23,3)</f>
        <v>FAIL</v>
      </c>
    </row>
    <row r="13" spans="1:11" ht="18.75" x14ac:dyDescent="0.25">
      <c r="A13" s="47" t="str">
        <f>'Info List'!A12</f>
        <v>BHS9010</v>
      </c>
      <c r="B13" s="48" t="str">
        <f>'Info List'!B12</f>
        <v>BOAKYE KELVIN OWUSU</v>
      </c>
      <c r="C13" s="49">
        <f>'Info List'!C12</f>
        <v>9</v>
      </c>
      <c r="D13" s="59"/>
      <c r="E13" s="32">
        <f t="shared" si="1"/>
        <v>0</v>
      </c>
      <c r="F13" s="60"/>
      <c r="G13" s="32">
        <f t="shared" si="2"/>
        <v>0</v>
      </c>
      <c r="H13" s="51">
        <f t="shared" si="3"/>
        <v>0</v>
      </c>
      <c r="I13" s="44">
        <f t="shared" si="0"/>
        <v>2</v>
      </c>
      <c r="J13" s="44">
        <f t="shared" si="4"/>
        <v>9</v>
      </c>
      <c r="K13" s="44" t="str">
        <f>VLOOKUP(H13,'GRADING SYSTEM'!$D$15:$F$23,3)</f>
        <v>FAIL</v>
      </c>
    </row>
    <row r="14" spans="1:11" ht="18.75" x14ac:dyDescent="0.25">
      <c r="A14" s="47" t="str">
        <f>'Info List'!A13</f>
        <v>BHS9011</v>
      </c>
      <c r="B14" s="48" t="str">
        <f>'Info List'!B13</f>
        <v>BOATENG NICHOLAS KELVIN</v>
      </c>
      <c r="C14" s="49">
        <f>'Info List'!C13</f>
        <v>9</v>
      </c>
      <c r="D14" s="59"/>
      <c r="E14" s="32">
        <f t="shared" si="1"/>
        <v>0</v>
      </c>
      <c r="F14" s="60"/>
      <c r="G14" s="32">
        <f t="shared" si="2"/>
        <v>0</v>
      </c>
      <c r="H14" s="51">
        <f t="shared" si="3"/>
        <v>0</v>
      </c>
      <c r="I14" s="44">
        <f t="shared" si="0"/>
        <v>2</v>
      </c>
      <c r="J14" s="44">
        <f t="shared" si="4"/>
        <v>9</v>
      </c>
      <c r="K14" s="44" t="str">
        <f>VLOOKUP(H14,'GRADING SYSTEM'!$D$15:$F$23,3)</f>
        <v>FAIL</v>
      </c>
    </row>
    <row r="15" spans="1:11" ht="18.75" x14ac:dyDescent="0.25">
      <c r="A15" s="47" t="str">
        <f>'Info List'!A14</f>
        <v>BHS9012</v>
      </c>
      <c r="B15" s="48" t="str">
        <f>'Info List'!B14</f>
        <v>CHARKITEY JOSEPH TETTEY EMEKOH</v>
      </c>
      <c r="C15" s="49">
        <f>'Info List'!C14</f>
        <v>9</v>
      </c>
      <c r="D15" s="59"/>
      <c r="E15" s="32">
        <f t="shared" si="1"/>
        <v>0</v>
      </c>
      <c r="F15" s="60"/>
      <c r="G15" s="32">
        <f t="shared" si="2"/>
        <v>0</v>
      </c>
      <c r="H15" s="51">
        <f t="shared" si="3"/>
        <v>0</v>
      </c>
      <c r="I15" s="44">
        <f t="shared" si="0"/>
        <v>2</v>
      </c>
      <c r="J15" s="44">
        <f t="shared" si="4"/>
        <v>9</v>
      </c>
      <c r="K15" s="44" t="str">
        <f>VLOOKUP(H15,'GRADING SYSTEM'!$D$15:$F$23,3)</f>
        <v>FAIL</v>
      </c>
    </row>
    <row r="16" spans="1:11" ht="18.75" x14ac:dyDescent="0.25">
      <c r="A16" s="47" t="str">
        <f>'Info List'!A15</f>
        <v>BHS9013</v>
      </c>
      <c r="B16" s="48" t="str">
        <f>'Info List'!B15</f>
        <v>DANKWAH AMA JANEL</v>
      </c>
      <c r="C16" s="49">
        <f>'Info List'!C15</f>
        <v>9</v>
      </c>
      <c r="D16" s="59"/>
      <c r="E16" s="32">
        <f t="shared" si="1"/>
        <v>0</v>
      </c>
      <c r="F16" s="60"/>
      <c r="G16" s="32">
        <f t="shared" si="2"/>
        <v>0</v>
      </c>
      <c r="H16" s="51">
        <f t="shared" si="3"/>
        <v>0</v>
      </c>
      <c r="I16" s="44">
        <f t="shared" si="0"/>
        <v>2</v>
      </c>
      <c r="J16" s="44">
        <f t="shared" si="4"/>
        <v>9</v>
      </c>
      <c r="K16" s="44" t="str">
        <f>VLOOKUP(H16,'GRADING SYSTEM'!$D$15:$F$23,3)</f>
        <v>FAIL</v>
      </c>
    </row>
    <row r="17" spans="1:11" ht="18.75" x14ac:dyDescent="0.25">
      <c r="A17" s="47" t="str">
        <f>'Info List'!A16</f>
        <v>BHS9014</v>
      </c>
      <c r="B17" s="48" t="str">
        <f>'Info List'!B16</f>
        <v>DANKWAH SHANTEL</v>
      </c>
      <c r="C17" s="49">
        <f>'Info List'!C16</f>
        <v>9</v>
      </c>
      <c r="D17" s="59"/>
      <c r="E17" s="32">
        <f t="shared" si="1"/>
        <v>0</v>
      </c>
      <c r="F17" s="60"/>
      <c r="G17" s="32">
        <f t="shared" si="2"/>
        <v>0</v>
      </c>
      <c r="H17" s="51">
        <f t="shared" si="3"/>
        <v>0</v>
      </c>
      <c r="I17" s="44">
        <f t="shared" si="0"/>
        <v>2</v>
      </c>
      <c r="J17" s="44">
        <f t="shared" si="4"/>
        <v>9</v>
      </c>
      <c r="K17" s="44" t="str">
        <f>VLOOKUP(H17,'GRADING SYSTEM'!$D$15:$F$23,3)</f>
        <v>FAIL</v>
      </c>
    </row>
    <row r="18" spans="1:11" ht="18.75" x14ac:dyDescent="0.25">
      <c r="A18" s="47" t="str">
        <f>'Info List'!A17</f>
        <v>BHS9015</v>
      </c>
      <c r="B18" s="48" t="str">
        <f>'Info List'!B17</f>
        <v>ESSILFIE ENOCH</v>
      </c>
      <c r="C18" s="49">
        <f>'Info List'!C17</f>
        <v>9</v>
      </c>
      <c r="D18" s="59"/>
      <c r="E18" s="32">
        <f t="shared" si="1"/>
        <v>0</v>
      </c>
      <c r="F18" s="60"/>
      <c r="G18" s="32">
        <f t="shared" si="2"/>
        <v>0</v>
      </c>
      <c r="H18" s="51">
        <f t="shared" si="3"/>
        <v>0</v>
      </c>
      <c r="I18" s="44">
        <f t="shared" si="0"/>
        <v>2</v>
      </c>
      <c r="J18" s="44">
        <f t="shared" si="4"/>
        <v>9</v>
      </c>
      <c r="K18" s="44" t="str">
        <f>VLOOKUP(H18,'GRADING SYSTEM'!$D$15:$F$23,3)</f>
        <v>FAIL</v>
      </c>
    </row>
    <row r="19" spans="1:11" ht="18.75" x14ac:dyDescent="0.25">
      <c r="A19" s="47" t="str">
        <f>'Info List'!A18</f>
        <v>BHS9016</v>
      </c>
      <c r="B19" s="48" t="str">
        <f>'Info List'!B18</f>
        <v>GANDAA LINDA</v>
      </c>
      <c r="C19" s="49">
        <f>'Info List'!C18</f>
        <v>9</v>
      </c>
      <c r="D19" s="59"/>
      <c r="E19" s="32">
        <f t="shared" si="1"/>
        <v>0</v>
      </c>
      <c r="F19" s="60"/>
      <c r="G19" s="32">
        <f t="shared" si="2"/>
        <v>0</v>
      </c>
      <c r="H19" s="51">
        <f t="shared" si="3"/>
        <v>0</v>
      </c>
      <c r="I19" s="44">
        <f t="shared" si="0"/>
        <v>2</v>
      </c>
      <c r="J19" s="44">
        <f t="shared" si="4"/>
        <v>9</v>
      </c>
      <c r="K19" s="44" t="str">
        <f>VLOOKUP(H19,'GRADING SYSTEM'!$D$15:$F$23,3)</f>
        <v>FAIL</v>
      </c>
    </row>
    <row r="20" spans="1:11" ht="18.75" x14ac:dyDescent="0.25">
      <c r="A20" s="47" t="str">
        <f>'Info List'!A19</f>
        <v>BHS9017</v>
      </c>
      <c r="B20" s="48" t="str">
        <f>'Info List'!B19</f>
        <v>GEORGINA DUSHIE QUEENSTAR</v>
      </c>
      <c r="C20" s="49">
        <f>'Info List'!C19</f>
        <v>9</v>
      </c>
      <c r="D20" s="59"/>
      <c r="E20" s="32">
        <f t="shared" si="1"/>
        <v>0</v>
      </c>
      <c r="F20" s="60"/>
      <c r="G20" s="32">
        <f t="shared" si="2"/>
        <v>0</v>
      </c>
      <c r="H20" s="51">
        <f t="shared" si="3"/>
        <v>0</v>
      </c>
      <c r="I20" s="44">
        <f t="shared" si="0"/>
        <v>2</v>
      </c>
      <c r="J20" s="44">
        <f t="shared" si="4"/>
        <v>9</v>
      </c>
      <c r="K20" s="44" t="str">
        <f>VLOOKUP(H20,'GRADING SYSTEM'!$D$15:$F$23,3)</f>
        <v>FAIL</v>
      </c>
    </row>
    <row r="21" spans="1:11" ht="18.75" x14ac:dyDescent="0.25">
      <c r="A21" s="47" t="str">
        <f>'Info List'!A20</f>
        <v>BHS9018</v>
      </c>
      <c r="B21" s="48" t="str">
        <f>'Info List'!B20</f>
        <v>GYAKYE AMPONSAH EKUA</v>
      </c>
      <c r="C21" s="49">
        <f>'Info List'!C20</f>
        <v>9</v>
      </c>
      <c r="D21" s="59"/>
      <c r="E21" s="32">
        <f t="shared" si="1"/>
        <v>0</v>
      </c>
      <c r="F21" s="60"/>
      <c r="G21" s="32">
        <f t="shared" si="2"/>
        <v>0</v>
      </c>
      <c r="H21" s="51">
        <f t="shared" si="3"/>
        <v>0</v>
      </c>
      <c r="I21" s="44">
        <f t="shared" si="0"/>
        <v>2</v>
      </c>
      <c r="J21" s="44">
        <f t="shared" si="4"/>
        <v>9</v>
      </c>
      <c r="K21" s="44" t="str">
        <f>VLOOKUP(H21,'GRADING SYSTEM'!$D$15:$F$23,3)</f>
        <v>FAIL</v>
      </c>
    </row>
    <row r="22" spans="1:11" ht="18.75" x14ac:dyDescent="0.25">
      <c r="A22" s="47" t="str">
        <f>'Info List'!A21</f>
        <v>BHS9019</v>
      </c>
      <c r="B22" s="48" t="str">
        <f>'Info List'!B21</f>
        <v>MENSAH GLORIA KUSI</v>
      </c>
      <c r="C22" s="49">
        <f>'Info List'!C21</f>
        <v>9</v>
      </c>
      <c r="D22" s="59"/>
      <c r="E22" s="32">
        <f t="shared" si="1"/>
        <v>0</v>
      </c>
      <c r="F22" s="60"/>
      <c r="G22" s="32">
        <f t="shared" si="2"/>
        <v>0</v>
      </c>
      <c r="H22" s="51">
        <f t="shared" si="3"/>
        <v>0</v>
      </c>
      <c r="I22" s="44">
        <f t="shared" si="0"/>
        <v>2</v>
      </c>
      <c r="J22" s="44">
        <f t="shared" si="4"/>
        <v>9</v>
      </c>
      <c r="K22" s="44" t="str">
        <f>VLOOKUP(H22,'GRADING SYSTEM'!$D$15:$F$23,3)</f>
        <v>FAIL</v>
      </c>
    </row>
    <row r="23" spans="1:11" ht="18.75" x14ac:dyDescent="0.25">
      <c r="A23" s="47" t="str">
        <f>'Info List'!A22</f>
        <v>BHS9020</v>
      </c>
      <c r="B23" s="48" t="str">
        <f>'Info List'!B22</f>
        <v>MENSAH KWASI BLESS</v>
      </c>
      <c r="C23" s="49">
        <f>'Info List'!C22</f>
        <v>9</v>
      </c>
      <c r="D23" s="59"/>
      <c r="E23" s="32">
        <f t="shared" si="1"/>
        <v>0</v>
      </c>
      <c r="F23" s="60"/>
      <c r="G23" s="32">
        <f t="shared" si="2"/>
        <v>0</v>
      </c>
      <c r="H23" s="51">
        <f t="shared" si="3"/>
        <v>0</v>
      </c>
      <c r="I23" s="44">
        <f t="shared" si="0"/>
        <v>2</v>
      </c>
      <c r="J23" s="44">
        <f t="shared" si="4"/>
        <v>9</v>
      </c>
      <c r="K23" s="44" t="str">
        <f>VLOOKUP(H23,'GRADING SYSTEM'!$D$15:$F$23,3)</f>
        <v>FAIL</v>
      </c>
    </row>
    <row r="24" spans="1:11" ht="18.75" x14ac:dyDescent="0.25">
      <c r="A24" s="47" t="str">
        <f>'Info List'!A23</f>
        <v>BHS9021</v>
      </c>
      <c r="B24" s="48" t="str">
        <f>'Info List'!B23</f>
        <v>MENSAH SHADRACK</v>
      </c>
      <c r="C24" s="49">
        <f>'Info List'!C23</f>
        <v>9</v>
      </c>
      <c r="D24" s="59"/>
      <c r="E24" s="32">
        <f t="shared" ref="E24:E25" si="5">0.5*D24</f>
        <v>0</v>
      </c>
      <c r="F24" s="60"/>
      <c r="G24" s="32">
        <f t="shared" ref="G24:G25" si="6">0.5*F24</f>
        <v>0</v>
      </c>
      <c r="H24" s="51">
        <f t="shared" ref="H24:H25" si="7">E24+G24</f>
        <v>0</v>
      </c>
      <c r="I24" s="44">
        <f t="shared" si="0"/>
        <v>2</v>
      </c>
      <c r="J24" s="44">
        <f t="shared" ref="J24:J25" si="8">IF(H24&gt;79.5, 1, IF(H24&gt;69.5, 2, IF(H24&gt;59.5, 3, IF(H24&gt;54.5, 4, IF(H24&gt;49.5, 5, IF(H24&gt;44.5, 6, IF(H24&gt;39.5, 7, IF(H24&gt;33.5, 8, IF(H24&gt;-1, 9)))))))))</f>
        <v>9</v>
      </c>
      <c r="K24" s="44" t="str">
        <f>VLOOKUP(H24,'GRADING SYSTEM'!$D$15:$F$23,3)</f>
        <v>FAIL</v>
      </c>
    </row>
    <row r="25" spans="1:11" ht="18.75" x14ac:dyDescent="0.25">
      <c r="A25" s="47" t="str">
        <f>'Info List'!A24</f>
        <v>BHS9022</v>
      </c>
      <c r="B25" s="48" t="str">
        <f>'Info List'!B24</f>
        <v>OFORI RODLYNE NANA ADOMA</v>
      </c>
      <c r="C25" s="49">
        <f>'Info List'!C24</f>
        <v>9</v>
      </c>
      <c r="D25" s="59"/>
      <c r="E25" s="32">
        <f t="shared" si="5"/>
        <v>0</v>
      </c>
      <c r="F25" s="60"/>
      <c r="G25" s="32">
        <f t="shared" si="6"/>
        <v>0</v>
      </c>
      <c r="H25" s="51">
        <f t="shared" si="7"/>
        <v>0</v>
      </c>
      <c r="I25" s="44">
        <f t="shared" si="0"/>
        <v>2</v>
      </c>
      <c r="J25" s="44">
        <f t="shared" si="8"/>
        <v>9</v>
      </c>
      <c r="K25" s="44" t="str">
        <f>VLOOKUP(H25,'GRADING SYSTEM'!$D$15:$F$23,3)</f>
        <v>FAIL</v>
      </c>
    </row>
    <row r="26" spans="1:11" ht="18.75" x14ac:dyDescent="0.25">
      <c r="A26" s="47" t="str">
        <f>'Info List'!A25</f>
        <v>BHS9023</v>
      </c>
      <c r="B26" s="48" t="str">
        <f>'Info List'!B25</f>
        <v>OPOKU JOEL ODURO SARPONG</v>
      </c>
      <c r="C26" s="49">
        <f>'Info List'!C25</f>
        <v>9</v>
      </c>
      <c r="D26" s="59"/>
      <c r="E26" s="32">
        <f t="shared" ref="E26:E29" si="9">0.5*D26</f>
        <v>0</v>
      </c>
      <c r="F26" s="60"/>
      <c r="G26" s="32">
        <f t="shared" ref="G26:G29" si="10">0.5*F26</f>
        <v>0</v>
      </c>
      <c r="H26" s="51">
        <f t="shared" ref="H26:H29" si="11">E26+G26</f>
        <v>0</v>
      </c>
      <c r="I26" s="44">
        <f t="shared" si="0"/>
        <v>2</v>
      </c>
      <c r="J26" s="44">
        <f t="shared" ref="J26:J29" si="12">IF(H26&gt;79.5, 1, IF(H26&gt;69.5, 2, IF(H26&gt;59.5, 3, IF(H26&gt;54.5, 4, IF(H26&gt;49.5, 5, IF(H26&gt;44.5, 6, IF(H26&gt;39.5, 7, IF(H26&gt;33.5, 8, IF(H26&gt;-1, 9)))))))))</f>
        <v>9</v>
      </c>
      <c r="K26" s="44" t="str">
        <f>VLOOKUP(H26,'GRADING SYSTEM'!$D$15:$F$23,3)</f>
        <v>FAIL</v>
      </c>
    </row>
    <row r="27" spans="1:11" ht="18.75" x14ac:dyDescent="0.25">
      <c r="A27" s="47" t="str">
        <f>'Info List'!A26</f>
        <v>BHS9024</v>
      </c>
      <c r="B27" s="48" t="str">
        <f>'Info List'!B26</f>
        <v>OPPONG NHYIRABA</v>
      </c>
      <c r="C27" s="49">
        <f>'Info List'!C26</f>
        <v>9</v>
      </c>
      <c r="D27" s="59"/>
      <c r="E27" s="32">
        <f t="shared" si="9"/>
        <v>0</v>
      </c>
      <c r="F27" s="60"/>
      <c r="G27" s="32">
        <f t="shared" si="10"/>
        <v>0</v>
      </c>
      <c r="H27" s="51">
        <f t="shared" si="11"/>
        <v>0</v>
      </c>
      <c r="I27" s="44">
        <f t="shared" si="0"/>
        <v>2</v>
      </c>
      <c r="J27" s="44">
        <f t="shared" si="12"/>
        <v>9</v>
      </c>
      <c r="K27" s="44" t="str">
        <f>VLOOKUP(H27,'GRADING SYSTEM'!$D$15:$F$23,3)</f>
        <v>FAIL</v>
      </c>
    </row>
    <row r="28" spans="1:11" ht="18.75" x14ac:dyDescent="0.25">
      <c r="A28" s="47" t="str">
        <f>'Info List'!A27</f>
        <v>BHS9025</v>
      </c>
      <c r="B28" s="48" t="str">
        <f>'Info List'!B27</f>
        <v>OPPONG NYAMEBA YAA</v>
      </c>
      <c r="C28" s="49">
        <f>'Info List'!C27</f>
        <v>9</v>
      </c>
      <c r="D28" s="59"/>
      <c r="E28" s="32">
        <f t="shared" si="9"/>
        <v>0</v>
      </c>
      <c r="F28" s="60"/>
      <c r="G28" s="32">
        <f t="shared" si="10"/>
        <v>0</v>
      </c>
      <c r="H28" s="51">
        <f t="shared" si="11"/>
        <v>0</v>
      </c>
      <c r="I28" s="44">
        <f t="shared" si="0"/>
        <v>2</v>
      </c>
      <c r="J28" s="44">
        <f t="shared" si="12"/>
        <v>9</v>
      </c>
      <c r="K28" s="44" t="str">
        <f>VLOOKUP(H28,'GRADING SYSTEM'!$D$15:$F$23,3)</f>
        <v>FAIL</v>
      </c>
    </row>
    <row r="29" spans="1:11" ht="18.75" x14ac:dyDescent="0.25">
      <c r="A29" s="47" t="str">
        <f>'Info List'!A28</f>
        <v>BHS9026</v>
      </c>
      <c r="B29" s="48" t="str">
        <f>'Info List'!B28</f>
        <v>QUARCOO JESSICA</v>
      </c>
      <c r="C29" s="49">
        <f>'Info List'!C28</f>
        <v>9</v>
      </c>
      <c r="D29" s="59"/>
      <c r="E29" s="32">
        <f t="shared" si="9"/>
        <v>0</v>
      </c>
      <c r="F29" s="60"/>
      <c r="G29" s="32">
        <f t="shared" si="10"/>
        <v>0</v>
      </c>
      <c r="H29" s="51">
        <f t="shared" si="11"/>
        <v>0</v>
      </c>
      <c r="I29" s="44">
        <f t="shared" si="0"/>
        <v>2</v>
      </c>
      <c r="J29" s="44">
        <f t="shared" si="12"/>
        <v>9</v>
      </c>
      <c r="K29" s="44" t="str">
        <f>VLOOKUP(H29,'GRADING SYSTEM'!$D$15:$F$23,3)</f>
        <v>FAIL</v>
      </c>
    </row>
    <row r="30" spans="1:11" ht="18.75" x14ac:dyDescent="0.25">
      <c r="A30" s="47" t="str">
        <f>'Info List'!A29</f>
        <v>BHS9027</v>
      </c>
      <c r="B30" s="48" t="str">
        <f>'Info List'!B29</f>
        <v>GAKPETOR ISAIAH</v>
      </c>
      <c r="C30" s="49">
        <f>'Info List'!C29</f>
        <v>9</v>
      </c>
      <c r="D30" s="59"/>
      <c r="E30" s="32">
        <f t="shared" ref="E30:E32" si="13">0.5*D30</f>
        <v>0</v>
      </c>
      <c r="F30" s="60"/>
      <c r="G30" s="32">
        <f t="shared" ref="G30:G32" si="14">0.5*F30</f>
        <v>0</v>
      </c>
      <c r="H30" s="51">
        <f t="shared" ref="H30:H32" si="15">E30+G30</f>
        <v>0</v>
      </c>
      <c r="I30" s="44">
        <f t="shared" si="0"/>
        <v>2</v>
      </c>
      <c r="J30" s="44">
        <f t="shared" ref="J30:J32" si="16">IF(H30&gt;79.5, 1, IF(H30&gt;69.5, 2, IF(H30&gt;59.5, 3, IF(H30&gt;54.5, 4, IF(H30&gt;49.5, 5, IF(H30&gt;44.5, 6, IF(H30&gt;39.5, 7, IF(H30&gt;33.5, 8, IF(H30&gt;-1, 9)))))))))</f>
        <v>9</v>
      </c>
      <c r="K30" s="44" t="str">
        <f>VLOOKUP(H30,'GRADING SYSTEM'!$D$15:$F$23,3)</f>
        <v>FAIL</v>
      </c>
    </row>
    <row r="31" spans="1:11" ht="18.75" x14ac:dyDescent="0.25">
      <c r="A31" s="47" t="str">
        <f>'Info List'!A30</f>
        <v>BHS9028</v>
      </c>
      <c r="B31" s="48" t="str">
        <f>'Info List'!B30</f>
        <v>SUDAIS ABDUL RAHMAN MUSA</v>
      </c>
      <c r="C31" s="49">
        <f>'Info List'!C30</f>
        <v>9</v>
      </c>
      <c r="D31" s="59"/>
      <c r="E31" s="32">
        <f t="shared" si="13"/>
        <v>0</v>
      </c>
      <c r="F31" s="60"/>
      <c r="G31" s="32">
        <f t="shared" si="14"/>
        <v>0</v>
      </c>
      <c r="H31" s="51">
        <f t="shared" si="15"/>
        <v>0</v>
      </c>
      <c r="I31" s="44">
        <f t="shared" si="0"/>
        <v>2</v>
      </c>
      <c r="J31" s="44">
        <f t="shared" si="16"/>
        <v>9</v>
      </c>
      <c r="K31" s="44" t="str">
        <f>VLOOKUP(H31,'GRADING SYSTEM'!$D$15:$F$23,3)</f>
        <v>FAIL</v>
      </c>
    </row>
    <row r="32" spans="1:11" ht="18.75" x14ac:dyDescent="0.25">
      <c r="A32" s="47" t="str">
        <f>'Info List'!A31</f>
        <v>BHS9029</v>
      </c>
      <c r="B32" s="48" t="str">
        <f>'Info List'!B31</f>
        <v>YEVAKPOR SYLVIA EYRAM</v>
      </c>
      <c r="C32" s="49">
        <f>'Info List'!C31</f>
        <v>9</v>
      </c>
      <c r="D32" s="59"/>
      <c r="E32" s="32">
        <f t="shared" si="13"/>
        <v>0</v>
      </c>
      <c r="F32" s="60"/>
      <c r="G32" s="32">
        <f t="shared" si="14"/>
        <v>0</v>
      </c>
      <c r="H32" s="51">
        <f t="shared" si="15"/>
        <v>0</v>
      </c>
      <c r="I32" s="44">
        <f t="shared" si="0"/>
        <v>2</v>
      </c>
      <c r="J32" s="44">
        <f t="shared" si="16"/>
        <v>9</v>
      </c>
      <c r="K32" s="44" t="str">
        <f>VLOOKUP(H32,'GRADING SYSTEM'!$D$15:$F$23,3)</f>
        <v>FAIL</v>
      </c>
    </row>
  </sheetData>
  <mergeCells count="6">
    <mergeCell ref="A1:K1"/>
    <mergeCell ref="B2:B3"/>
    <mergeCell ref="C2:C3"/>
    <mergeCell ref="I2:I3"/>
    <mergeCell ref="J2:J3"/>
    <mergeCell ref="K2:K3"/>
  </mergeCells>
  <dataValidations count="1">
    <dataValidation type="whole" allowBlank="1" showInputMessage="1" showErrorMessage="1" errorTitle="WRONG ENTRY" error="Enter marks from 0 to 100" sqref="G4:G32" xr:uid="{00000000-0002-0000-0600-000000000000}">
      <formula1>0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>
    <tabColor rgb="FFFFFF00"/>
  </sheetPr>
  <dimension ref="A1:K32"/>
  <sheetViews>
    <sheetView zoomScale="90" zoomScaleNormal="90" workbookViewId="0">
      <selection activeCell="F5" sqref="F5"/>
    </sheetView>
  </sheetViews>
  <sheetFormatPr defaultRowHeight="15" x14ac:dyDescent="0.25"/>
  <cols>
    <col min="1" max="1" width="12.140625" style="61" customWidth="1"/>
    <col min="2" max="2" width="40.140625" style="61" customWidth="1"/>
    <col min="3" max="3" width="10.28515625" style="61" customWidth="1"/>
    <col min="4" max="4" width="9.140625" style="61"/>
    <col min="5" max="6" width="12.7109375" style="61" customWidth="1"/>
    <col min="7" max="7" width="13.140625" style="61" customWidth="1"/>
    <col min="8" max="8" width="14.28515625" style="61" customWidth="1"/>
    <col min="9" max="9" width="13.5703125" style="61" customWidth="1"/>
    <col min="10" max="10" width="9.140625" style="61"/>
    <col min="11" max="11" width="27.42578125" style="61" customWidth="1"/>
    <col min="12" max="16384" width="9.140625" style="61"/>
  </cols>
  <sheetData>
    <row r="1" spans="1:11" ht="33.75" x14ac:dyDescent="0.25">
      <c r="A1" s="90" t="s">
        <v>119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58.5" customHeight="1" x14ac:dyDescent="0.25">
      <c r="A2" s="96" t="s">
        <v>9</v>
      </c>
      <c r="B2" s="94" t="s">
        <v>2</v>
      </c>
      <c r="C2" s="94" t="s">
        <v>3</v>
      </c>
      <c r="D2" s="73" t="s">
        <v>10</v>
      </c>
      <c r="E2" s="72" t="s">
        <v>11</v>
      </c>
      <c r="F2" s="74" t="s">
        <v>57</v>
      </c>
      <c r="G2" s="72" t="s">
        <v>12</v>
      </c>
      <c r="H2" s="75" t="s">
        <v>14</v>
      </c>
      <c r="I2" s="94" t="s">
        <v>15</v>
      </c>
      <c r="J2" s="95" t="s">
        <v>16</v>
      </c>
      <c r="K2" s="94" t="s">
        <v>17</v>
      </c>
    </row>
    <row r="3" spans="1:11" ht="15" customHeight="1" x14ac:dyDescent="0.25">
      <c r="A3" s="97"/>
      <c r="B3" s="94"/>
      <c r="C3" s="94"/>
      <c r="D3" s="76">
        <v>1</v>
      </c>
      <c r="E3" s="76" t="s">
        <v>18</v>
      </c>
      <c r="F3" s="76">
        <v>1</v>
      </c>
      <c r="G3" s="76" t="s">
        <v>136</v>
      </c>
      <c r="H3" s="77" t="s">
        <v>137</v>
      </c>
      <c r="I3" s="94"/>
      <c r="J3" s="95"/>
      <c r="K3" s="94"/>
    </row>
    <row r="4" spans="1:11" ht="18.75" x14ac:dyDescent="0.25">
      <c r="A4" s="47" t="str">
        <f>'Info List'!A3</f>
        <v>BHS9001</v>
      </c>
      <c r="B4" s="48" t="str">
        <f>'Info List'!B3</f>
        <v>ABRAKWAH EVA OWUSUAA</v>
      </c>
      <c r="C4" s="49">
        <f>'Info List'!C3</f>
        <v>9</v>
      </c>
      <c r="D4" s="59">
        <v>76</v>
      </c>
      <c r="E4" s="32">
        <f>0.5*D4</f>
        <v>38</v>
      </c>
      <c r="F4" s="60">
        <v>82</v>
      </c>
      <c r="G4" s="32">
        <f>0.5*F4</f>
        <v>41</v>
      </c>
      <c r="H4" s="51">
        <f>E4+G4</f>
        <v>79</v>
      </c>
      <c r="I4" s="44">
        <f t="shared" ref="I4:I32" si="0">RANK(H4,$H$4:$H$32)</f>
        <v>1</v>
      </c>
      <c r="J4" s="44">
        <f>IF(H4&gt;79.5, 1, IF(H4&gt;69.5, 2, IF(H4&gt;59.5, 3, IF(H4&gt;54.5, 4, IF(H4&gt;49.5, 5, IF(H4&gt;44.5, 6, IF(H4&gt;39.5, 7, IF(H4&gt;33.5, 8, IF(H4&gt;-1, 9)))))))))</f>
        <v>2</v>
      </c>
      <c r="K4" s="44" t="str">
        <f>VLOOKUP(H4,'GRADING SYSTEM'!$D$15:$F$23,3)</f>
        <v>VERY GOOD</v>
      </c>
    </row>
    <row r="5" spans="1:11" ht="18.75" x14ac:dyDescent="0.25">
      <c r="A5" s="47" t="str">
        <f>'Info List'!A4</f>
        <v>BHS9002</v>
      </c>
      <c r="B5" s="48" t="str">
        <f>'Info List'!B4</f>
        <v>ADZILAFU EDWARD</v>
      </c>
      <c r="C5" s="49">
        <f>'Info List'!C4</f>
        <v>9</v>
      </c>
      <c r="D5" s="59"/>
      <c r="E5" s="32">
        <f t="shared" ref="E5:E23" si="1">0.5*D5</f>
        <v>0</v>
      </c>
      <c r="F5" s="60"/>
      <c r="G5" s="32">
        <f t="shared" ref="G5:G23" si="2">0.5*F5</f>
        <v>0</v>
      </c>
      <c r="H5" s="51">
        <f t="shared" ref="H5:H23" si="3">E5+G5</f>
        <v>0</v>
      </c>
      <c r="I5" s="44">
        <f t="shared" si="0"/>
        <v>2</v>
      </c>
      <c r="J5" s="44">
        <f t="shared" ref="J5:J23" si="4">IF(H5&gt;79.5, 1, IF(H5&gt;69.5, 2, IF(H5&gt;59.5, 3, IF(H5&gt;54.5, 4, IF(H5&gt;49.5, 5, IF(H5&gt;44.5, 6, IF(H5&gt;39.5, 7, IF(H5&gt;33.5, 8, IF(H5&gt;-1, 9)))))))))</f>
        <v>9</v>
      </c>
      <c r="K5" s="44" t="str">
        <f>VLOOKUP(H5,'GRADING SYSTEM'!$D$15:$F$23,3)</f>
        <v>FAIL</v>
      </c>
    </row>
    <row r="6" spans="1:11" ht="18.75" x14ac:dyDescent="0.25">
      <c r="A6" s="47" t="str">
        <f>'Info List'!A5</f>
        <v>BHS9003</v>
      </c>
      <c r="B6" s="48" t="str">
        <f>'Info List'!B5</f>
        <v>AGYEPONG DASEBRE</v>
      </c>
      <c r="C6" s="49">
        <f>'Info List'!C5</f>
        <v>9</v>
      </c>
      <c r="D6" s="59"/>
      <c r="E6" s="32">
        <f t="shared" si="1"/>
        <v>0</v>
      </c>
      <c r="F6" s="60"/>
      <c r="G6" s="32">
        <f t="shared" si="2"/>
        <v>0</v>
      </c>
      <c r="H6" s="51">
        <f t="shared" si="3"/>
        <v>0</v>
      </c>
      <c r="I6" s="44">
        <f t="shared" si="0"/>
        <v>2</v>
      </c>
      <c r="J6" s="44">
        <f t="shared" si="4"/>
        <v>9</v>
      </c>
      <c r="K6" s="44" t="str">
        <f>VLOOKUP(H6,'GRADING SYSTEM'!$D$15:$F$23,3)</f>
        <v>FAIL</v>
      </c>
    </row>
    <row r="7" spans="1:11" ht="18.75" x14ac:dyDescent="0.25">
      <c r="A7" s="47" t="str">
        <f>'Info List'!A6</f>
        <v>BHS9004</v>
      </c>
      <c r="B7" s="48" t="str">
        <f>'Info List'!B6</f>
        <v>ANIWA JOANA SEYRAM</v>
      </c>
      <c r="C7" s="49">
        <f>'Info List'!C6</f>
        <v>9</v>
      </c>
      <c r="D7" s="59"/>
      <c r="E7" s="32">
        <f t="shared" si="1"/>
        <v>0</v>
      </c>
      <c r="F7" s="60"/>
      <c r="G7" s="32">
        <f t="shared" si="2"/>
        <v>0</v>
      </c>
      <c r="H7" s="51">
        <f t="shared" si="3"/>
        <v>0</v>
      </c>
      <c r="I7" s="44">
        <f t="shared" si="0"/>
        <v>2</v>
      </c>
      <c r="J7" s="44">
        <f t="shared" si="4"/>
        <v>9</v>
      </c>
      <c r="K7" s="44" t="str">
        <f>VLOOKUP(H7,'GRADING SYSTEM'!$D$15:$F$23,3)</f>
        <v>FAIL</v>
      </c>
    </row>
    <row r="8" spans="1:11" ht="18.75" x14ac:dyDescent="0.25">
      <c r="A8" s="47" t="str">
        <f>'Info List'!A7</f>
        <v>BHS9005</v>
      </c>
      <c r="B8" s="48" t="str">
        <f>'Info List'!B7</f>
        <v>ANNAN AGNES</v>
      </c>
      <c r="C8" s="49">
        <f>'Info List'!C7</f>
        <v>9</v>
      </c>
      <c r="D8" s="59"/>
      <c r="E8" s="32">
        <f t="shared" si="1"/>
        <v>0</v>
      </c>
      <c r="F8" s="60"/>
      <c r="G8" s="32">
        <f t="shared" si="2"/>
        <v>0</v>
      </c>
      <c r="H8" s="51">
        <f t="shared" si="3"/>
        <v>0</v>
      </c>
      <c r="I8" s="44">
        <f t="shared" si="0"/>
        <v>2</v>
      </c>
      <c r="J8" s="44">
        <f t="shared" si="4"/>
        <v>9</v>
      </c>
      <c r="K8" s="44" t="str">
        <f>VLOOKUP(H8,'GRADING SYSTEM'!$D$15:$F$23,3)</f>
        <v>FAIL</v>
      </c>
    </row>
    <row r="9" spans="1:11" ht="18.75" x14ac:dyDescent="0.25">
      <c r="A9" s="47" t="str">
        <f>'Info List'!A8</f>
        <v>BHS9006</v>
      </c>
      <c r="B9" s="48" t="str">
        <f>'Info List'!B8</f>
        <v>ARTHUR LILLIAN ABENA</v>
      </c>
      <c r="C9" s="49">
        <f>'Info List'!C8</f>
        <v>9</v>
      </c>
      <c r="D9" s="59"/>
      <c r="E9" s="32">
        <f t="shared" si="1"/>
        <v>0</v>
      </c>
      <c r="F9" s="60"/>
      <c r="G9" s="32">
        <f t="shared" si="2"/>
        <v>0</v>
      </c>
      <c r="H9" s="51">
        <f t="shared" si="3"/>
        <v>0</v>
      </c>
      <c r="I9" s="44">
        <f t="shared" si="0"/>
        <v>2</v>
      </c>
      <c r="J9" s="44">
        <f t="shared" si="4"/>
        <v>9</v>
      </c>
      <c r="K9" s="44" t="str">
        <f>VLOOKUP(H9,'GRADING SYSTEM'!$D$15:$F$23,3)</f>
        <v>FAIL</v>
      </c>
    </row>
    <row r="10" spans="1:11" ht="18.75" x14ac:dyDescent="0.25">
      <c r="A10" s="47" t="str">
        <f>'Info List'!A9</f>
        <v>BHS9007</v>
      </c>
      <c r="B10" s="48" t="str">
        <f>'Info List'!B9</f>
        <v>ASARE JACOB</v>
      </c>
      <c r="C10" s="49">
        <f>'Info List'!C9</f>
        <v>9</v>
      </c>
      <c r="D10" s="59"/>
      <c r="E10" s="32">
        <f t="shared" si="1"/>
        <v>0</v>
      </c>
      <c r="F10" s="60"/>
      <c r="G10" s="32">
        <f t="shared" si="2"/>
        <v>0</v>
      </c>
      <c r="H10" s="51">
        <f t="shared" si="3"/>
        <v>0</v>
      </c>
      <c r="I10" s="44">
        <f t="shared" si="0"/>
        <v>2</v>
      </c>
      <c r="J10" s="44">
        <f t="shared" si="4"/>
        <v>9</v>
      </c>
      <c r="K10" s="44" t="str">
        <f>VLOOKUP(H10,'GRADING SYSTEM'!$D$15:$F$23,3)</f>
        <v>FAIL</v>
      </c>
    </row>
    <row r="11" spans="1:11" ht="18.75" x14ac:dyDescent="0.25">
      <c r="A11" s="47" t="str">
        <f>'Info List'!A10</f>
        <v>BHS9008</v>
      </c>
      <c r="B11" s="48" t="str">
        <f>'Info List'!B10</f>
        <v>BAAH JOSEPHINE KONADU</v>
      </c>
      <c r="C11" s="49">
        <f>'Info List'!C10</f>
        <v>9</v>
      </c>
      <c r="D11" s="59"/>
      <c r="E11" s="32">
        <f t="shared" si="1"/>
        <v>0</v>
      </c>
      <c r="F11" s="60"/>
      <c r="G11" s="32">
        <f t="shared" si="2"/>
        <v>0</v>
      </c>
      <c r="H11" s="51">
        <f t="shared" si="3"/>
        <v>0</v>
      </c>
      <c r="I11" s="44">
        <f t="shared" si="0"/>
        <v>2</v>
      </c>
      <c r="J11" s="44">
        <f t="shared" si="4"/>
        <v>9</v>
      </c>
      <c r="K11" s="44" t="str">
        <f>VLOOKUP(H11,'GRADING SYSTEM'!$D$15:$F$23,3)</f>
        <v>FAIL</v>
      </c>
    </row>
    <row r="12" spans="1:11" ht="18.75" x14ac:dyDescent="0.25">
      <c r="A12" s="47" t="str">
        <f>'Info List'!A11</f>
        <v>BHS9009</v>
      </c>
      <c r="B12" s="48" t="str">
        <f>'Info List'!B11</f>
        <v>BAIDOO MIDRED</v>
      </c>
      <c r="C12" s="49">
        <f>'Info List'!C11</f>
        <v>9</v>
      </c>
      <c r="D12" s="59"/>
      <c r="E12" s="32">
        <f t="shared" si="1"/>
        <v>0</v>
      </c>
      <c r="F12" s="60"/>
      <c r="G12" s="32">
        <f t="shared" si="2"/>
        <v>0</v>
      </c>
      <c r="H12" s="51">
        <f t="shared" si="3"/>
        <v>0</v>
      </c>
      <c r="I12" s="44">
        <f t="shared" si="0"/>
        <v>2</v>
      </c>
      <c r="J12" s="44">
        <f t="shared" si="4"/>
        <v>9</v>
      </c>
      <c r="K12" s="44" t="str">
        <f>VLOOKUP(H12,'GRADING SYSTEM'!$D$15:$F$23,3)</f>
        <v>FAIL</v>
      </c>
    </row>
    <row r="13" spans="1:11" ht="18.75" x14ac:dyDescent="0.25">
      <c r="A13" s="47" t="str">
        <f>'Info List'!A12</f>
        <v>BHS9010</v>
      </c>
      <c r="B13" s="48" t="str">
        <f>'Info List'!B12</f>
        <v>BOAKYE KELVIN OWUSU</v>
      </c>
      <c r="C13" s="49">
        <f>'Info List'!C12</f>
        <v>9</v>
      </c>
      <c r="D13" s="59"/>
      <c r="E13" s="32">
        <f t="shared" si="1"/>
        <v>0</v>
      </c>
      <c r="F13" s="60"/>
      <c r="G13" s="32">
        <f t="shared" si="2"/>
        <v>0</v>
      </c>
      <c r="H13" s="51">
        <f t="shared" si="3"/>
        <v>0</v>
      </c>
      <c r="I13" s="44">
        <f t="shared" si="0"/>
        <v>2</v>
      </c>
      <c r="J13" s="44">
        <f t="shared" si="4"/>
        <v>9</v>
      </c>
      <c r="K13" s="44" t="str">
        <f>VLOOKUP(H13,'GRADING SYSTEM'!$D$15:$F$23,3)</f>
        <v>FAIL</v>
      </c>
    </row>
    <row r="14" spans="1:11" ht="18.75" x14ac:dyDescent="0.25">
      <c r="A14" s="47" t="str">
        <f>'Info List'!A13</f>
        <v>BHS9011</v>
      </c>
      <c r="B14" s="48" t="str">
        <f>'Info List'!B13</f>
        <v>BOATENG NICHOLAS KELVIN</v>
      </c>
      <c r="C14" s="49">
        <f>'Info List'!C13</f>
        <v>9</v>
      </c>
      <c r="D14" s="59"/>
      <c r="E14" s="32">
        <f t="shared" si="1"/>
        <v>0</v>
      </c>
      <c r="F14" s="60"/>
      <c r="G14" s="32">
        <f t="shared" si="2"/>
        <v>0</v>
      </c>
      <c r="H14" s="51">
        <f t="shared" si="3"/>
        <v>0</v>
      </c>
      <c r="I14" s="44">
        <f t="shared" si="0"/>
        <v>2</v>
      </c>
      <c r="J14" s="44">
        <f t="shared" si="4"/>
        <v>9</v>
      </c>
      <c r="K14" s="44" t="str">
        <f>VLOOKUP(H14,'GRADING SYSTEM'!$D$15:$F$23,3)</f>
        <v>FAIL</v>
      </c>
    </row>
    <row r="15" spans="1:11" ht="18.75" x14ac:dyDescent="0.25">
      <c r="A15" s="47" t="str">
        <f>'Info List'!A14</f>
        <v>BHS9012</v>
      </c>
      <c r="B15" s="48" t="str">
        <f>'Info List'!B14</f>
        <v>CHARKITEY JOSEPH TETTEY EMEKOH</v>
      </c>
      <c r="C15" s="49">
        <f>'Info List'!C14</f>
        <v>9</v>
      </c>
      <c r="D15" s="59"/>
      <c r="E15" s="32">
        <f t="shared" si="1"/>
        <v>0</v>
      </c>
      <c r="F15" s="60"/>
      <c r="G15" s="32">
        <f t="shared" si="2"/>
        <v>0</v>
      </c>
      <c r="H15" s="51">
        <f t="shared" si="3"/>
        <v>0</v>
      </c>
      <c r="I15" s="44">
        <f t="shared" si="0"/>
        <v>2</v>
      </c>
      <c r="J15" s="44">
        <f t="shared" si="4"/>
        <v>9</v>
      </c>
      <c r="K15" s="44" t="str">
        <f>VLOOKUP(H15,'GRADING SYSTEM'!$D$15:$F$23,3)</f>
        <v>FAIL</v>
      </c>
    </row>
    <row r="16" spans="1:11" ht="18.75" x14ac:dyDescent="0.25">
      <c r="A16" s="47" t="str">
        <f>'Info List'!A15</f>
        <v>BHS9013</v>
      </c>
      <c r="B16" s="48" t="str">
        <f>'Info List'!B15</f>
        <v>DANKWAH AMA JANEL</v>
      </c>
      <c r="C16" s="49">
        <f>'Info List'!C15</f>
        <v>9</v>
      </c>
      <c r="D16" s="59"/>
      <c r="E16" s="32">
        <f t="shared" si="1"/>
        <v>0</v>
      </c>
      <c r="F16" s="60"/>
      <c r="G16" s="32">
        <f t="shared" si="2"/>
        <v>0</v>
      </c>
      <c r="H16" s="51">
        <f t="shared" si="3"/>
        <v>0</v>
      </c>
      <c r="I16" s="44">
        <f t="shared" si="0"/>
        <v>2</v>
      </c>
      <c r="J16" s="44">
        <f t="shared" si="4"/>
        <v>9</v>
      </c>
      <c r="K16" s="44" t="str">
        <f>VLOOKUP(H16,'GRADING SYSTEM'!$D$15:$F$23,3)</f>
        <v>FAIL</v>
      </c>
    </row>
    <row r="17" spans="1:11" ht="18.75" x14ac:dyDescent="0.25">
      <c r="A17" s="47" t="str">
        <f>'Info List'!A16</f>
        <v>BHS9014</v>
      </c>
      <c r="B17" s="48" t="str">
        <f>'Info List'!B16</f>
        <v>DANKWAH SHANTEL</v>
      </c>
      <c r="C17" s="49">
        <f>'Info List'!C16</f>
        <v>9</v>
      </c>
      <c r="D17" s="59"/>
      <c r="E17" s="32">
        <f t="shared" si="1"/>
        <v>0</v>
      </c>
      <c r="F17" s="60"/>
      <c r="G17" s="32">
        <f t="shared" si="2"/>
        <v>0</v>
      </c>
      <c r="H17" s="51">
        <f t="shared" si="3"/>
        <v>0</v>
      </c>
      <c r="I17" s="44">
        <f t="shared" si="0"/>
        <v>2</v>
      </c>
      <c r="J17" s="44">
        <f t="shared" si="4"/>
        <v>9</v>
      </c>
      <c r="K17" s="44" t="str">
        <f>VLOOKUP(H17,'GRADING SYSTEM'!$D$15:$F$23,3)</f>
        <v>FAIL</v>
      </c>
    </row>
    <row r="18" spans="1:11" ht="18.75" x14ac:dyDescent="0.25">
      <c r="A18" s="47" t="str">
        <f>'Info List'!A17</f>
        <v>BHS9015</v>
      </c>
      <c r="B18" s="48" t="str">
        <f>'Info List'!B17</f>
        <v>ESSILFIE ENOCH</v>
      </c>
      <c r="C18" s="49">
        <f>'Info List'!C17</f>
        <v>9</v>
      </c>
      <c r="D18" s="59"/>
      <c r="E18" s="32">
        <f t="shared" si="1"/>
        <v>0</v>
      </c>
      <c r="F18" s="60"/>
      <c r="G18" s="32">
        <f t="shared" si="2"/>
        <v>0</v>
      </c>
      <c r="H18" s="51">
        <f t="shared" si="3"/>
        <v>0</v>
      </c>
      <c r="I18" s="44">
        <f t="shared" si="0"/>
        <v>2</v>
      </c>
      <c r="J18" s="44">
        <f t="shared" si="4"/>
        <v>9</v>
      </c>
      <c r="K18" s="44" t="str">
        <f>VLOOKUP(H18,'GRADING SYSTEM'!$D$15:$F$23,3)</f>
        <v>FAIL</v>
      </c>
    </row>
    <row r="19" spans="1:11" ht="18.75" x14ac:dyDescent="0.25">
      <c r="A19" s="47" t="str">
        <f>'Info List'!A18</f>
        <v>BHS9016</v>
      </c>
      <c r="B19" s="48" t="str">
        <f>'Info List'!B18</f>
        <v>GANDAA LINDA</v>
      </c>
      <c r="C19" s="49">
        <f>'Info List'!C18</f>
        <v>9</v>
      </c>
      <c r="D19" s="59"/>
      <c r="E19" s="32">
        <f t="shared" si="1"/>
        <v>0</v>
      </c>
      <c r="F19" s="60"/>
      <c r="G19" s="32">
        <f t="shared" si="2"/>
        <v>0</v>
      </c>
      <c r="H19" s="51">
        <f t="shared" si="3"/>
        <v>0</v>
      </c>
      <c r="I19" s="44">
        <f t="shared" si="0"/>
        <v>2</v>
      </c>
      <c r="J19" s="44">
        <f t="shared" si="4"/>
        <v>9</v>
      </c>
      <c r="K19" s="44" t="str">
        <f>VLOOKUP(H19,'GRADING SYSTEM'!$D$15:$F$23,3)</f>
        <v>FAIL</v>
      </c>
    </row>
    <row r="20" spans="1:11" ht="18.75" x14ac:dyDescent="0.25">
      <c r="A20" s="47" t="str">
        <f>'Info List'!A19</f>
        <v>BHS9017</v>
      </c>
      <c r="B20" s="48" t="str">
        <f>'Info List'!B19</f>
        <v>GEORGINA DUSHIE QUEENSTAR</v>
      </c>
      <c r="C20" s="49">
        <f>'Info List'!C19</f>
        <v>9</v>
      </c>
      <c r="D20" s="59"/>
      <c r="E20" s="32">
        <f t="shared" si="1"/>
        <v>0</v>
      </c>
      <c r="F20" s="60"/>
      <c r="G20" s="32">
        <f t="shared" si="2"/>
        <v>0</v>
      </c>
      <c r="H20" s="51">
        <f t="shared" si="3"/>
        <v>0</v>
      </c>
      <c r="I20" s="44">
        <f t="shared" si="0"/>
        <v>2</v>
      </c>
      <c r="J20" s="44">
        <f t="shared" si="4"/>
        <v>9</v>
      </c>
      <c r="K20" s="44" t="str">
        <f>VLOOKUP(H20,'GRADING SYSTEM'!$D$15:$F$23,3)</f>
        <v>FAIL</v>
      </c>
    </row>
    <row r="21" spans="1:11" ht="18.75" x14ac:dyDescent="0.25">
      <c r="A21" s="47" t="str">
        <f>'Info List'!A20</f>
        <v>BHS9018</v>
      </c>
      <c r="B21" s="48" t="str">
        <f>'Info List'!B20</f>
        <v>GYAKYE AMPONSAH EKUA</v>
      </c>
      <c r="C21" s="49">
        <f>'Info List'!C20</f>
        <v>9</v>
      </c>
      <c r="D21" s="59"/>
      <c r="E21" s="32">
        <f t="shared" si="1"/>
        <v>0</v>
      </c>
      <c r="F21" s="60"/>
      <c r="G21" s="32">
        <f t="shared" si="2"/>
        <v>0</v>
      </c>
      <c r="H21" s="51">
        <f t="shared" si="3"/>
        <v>0</v>
      </c>
      <c r="I21" s="44">
        <f t="shared" si="0"/>
        <v>2</v>
      </c>
      <c r="J21" s="44">
        <f t="shared" si="4"/>
        <v>9</v>
      </c>
      <c r="K21" s="44" t="str">
        <f>VLOOKUP(H21,'GRADING SYSTEM'!$D$15:$F$23,3)</f>
        <v>FAIL</v>
      </c>
    </row>
    <row r="22" spans="1:11" ht="18.75" x14ac:dyDescent="0.25">
      <c r="A22" s="47" t="str">
        <f>'Info List'!A21</f>
        <v>BHS9019</v>
      </c>
      <c r="B22" s="48" t="str">
        <f>'Info List'!B21</f>
        <v>MENSAH GLORIA KUSI</v>
      </c>
      <c r="C22" s="49">
        <f>'Info List'!C21</f>
        <v>9</v>
      </c>
      <c r="D22" s="59"/>
      <c r="E22" s="32">
        <f t="shared" si="1"/>
        <v>0</v>
      </c>
      <c r="F22" s="60"/>
      <c r="G22" s="32">
        <f t="shared" si="2"/>
        <v>0</v>
      </c>
      <c r="H22" s="51">
        <f t="shared" si="3"/>
        <v>0</v>
      </c>
      <c r="I22" s="44">
        <f t="shared" si="0"/>
        <v>2</v>
      </c>
      <c r="J22" s="44">
        <f t="shared" si="4"/>
        <v>9</v>
      </c>
      <c r="K22" s="44" t="str">
        <f>VLOOKUP(H22,'GRADING SYSTEM'!$D$15:$F$23,3)</f>
        <v>FAIL</v>
      </c>
    </row>
    <row r="23" spans="1:11" ht="18.75" x14ac:dyDescent="0.25">
      <c r="A23" s="47" t="str">
        <f>'Info List'!A22</f>
        <v>BHS9020</v>
      </c>
      <c r="B23" s="48" t="str">
        <f>'Info List'!B22</f>
        <v>MENSAH KWASI BLESS</v>
      </c>
      <c r="C23" s="49">
        <f>'Info List'!C22</f>
        <v>9</v>
      </c>
      <c r="D23" s="59"/>
      <c r="E23" s="32">
        <f t="shared" si="1"/>
        <v>0</v>
      </c>
      <c r="F23" s="60"/>
      <c r="G23" s="32">
        <f t="shared" si="2"/>
        <v>0</v>
      </c>
      <c r="H23" s="51">
        <f t="shared" si="3"/>
        <v>0</v>
      </c>
      <c r="I23" s="44">
        <f t="shared" si="0"/>
        <v>2</v>
      </c>
      <c r="J23" s="44">
        <f t="shared" si="4"/>
        <v>9</v>
      </c>
      <c r="K23" s="44" t="str">
        <f>VLOOKUP(H23,'GRADING SYSTEM'!$D$15:$F$23,3)</f>
        <v>FAIL</v>
      </c>
    </row>
    <row r="24" spans="1:11" ht="18.75" x14ac:dyDescent="0.25">
      <c r="A24" s="47" t="str">
        <f>'Info List'!A23</f>
        <v>BHS9021</v>
      </c>
      <c r="B24" s="48" t="str">
        <f>'Info List'!B23</f>
        <v>MENSAH SHADRACK</v>
      </c>
      <c r="C24" s="49">
        <f>'Info List'!C23</f>
        <v>9</v>
      </c>
      <c r="D24" s="59"/>
      <c r="E24" s="32">
        <f t="shared" ref="E24:E25" si="5">0.5*D24</f>
        <v>0</v>
      </c>
      <c r="F24" s="60"/>
      <c r="G24" s="32">
        <f t="shared" ref="G24:G25" si="6">0.5*F24</f>
        <v>0</v>
      </c>
      <c r="H24" s="51">
        <f t="shared" ref="H24:H25" si="7">E24+G24</f>
        <v>0</v>
      </c>
      <c r="I24" s="44">
        <f t="shared" si="0"/>
        <v>2</v>
      </c>
      <c r="J24" s="44">
        <f t="shared" ref="J24:J25" si="8">IF(H24&gt;79.5, 1, IF(H24&gt;69.5, 2, IF(H24&gt;59.5, 3, IF(H24&gt;54.5, 4, IF(H24&gt;49.5, 5, IF(H24&gt;44.5, 6, IF(H24&gt;39.5, 7, IF(H24&gt;33.5, 8, IF(H24&gt;-1, 9)))))))))</f>
        <v>9</v>
      </c>
      <c r="K24" s="44" t="str">
        <f>VLOOKUP(H24,'GRADING SYSTEM'!$D$15:$F$23,3)</f>
        <v>FAIL</v>
      </c>
    </row>
    <row r="25" spans="1:11" ht="18.75" x14ac:dyDescent="0.25">
      <c r="A25" s="47" t="str">
        <f>'Info List'!A24</f>
        <v>BHS9022</v>
      </c>
      <c r="B25" s="48" t="str">
        <f>'Info List'!B24</f>
        <v>OFORI RODLYNE NANA ADOMA</v>
      </c>
      <c r="C25" s="49">
        <f>'Info List'!C24</f>
        <v>9</v>
      </c>
      <c r="D25" s="59"/>
      <c r="E25" s="32">
        <f t="shared" si="5"/>
        <v>0</v>
      </c>
      <c r="F25" s="60"/>
      <c r="G25" s="32">
        <f t="shared" si="6"/>
        <v>0</v>
      </c>
      <c r="H25" s="51">
        <f t="shared" si="7"/>
        <v>0</v>
      </c>
      <c r="I25" s="44">
        <f t="shared" si="0"/>
        <v>2</v>
      </c>
      <c r="J25" s="44">
        <f t="shared" si="8"/>
        <v>9</v>
      </c>
      <c r="K25" s="44" t="str">
        <f>VLOOKUP(H25,'GRADING SYSTEM'!$D$15:$F$23,3)</f>
        <v>FAIL</v>
      </c>
    </row>
    <row r="26" spans="1:11" ht="18.75" x14ac:dyDescent="0.25">
      <c r="A26" s="47" t="str">
        <f>'Info List'!A25</f>
        <v>BHS9023</v>
      </c>
      <c r="B26" s="48" t="str">
        <f>'Info List'!B25</f>
        <v>OPOKU JOEL ODURO SARPONG</v>
      </c>
      <c r="C26" s="49">
        <f>'Info List'!C25</f>
        <v>9</v>
      </c>
      <c r="D26" s="59"/>
      <c r="E26" s="32">
        <f t="shared" ref="E26:E29" si="9">0.5*D26</f>
        <v>0</v>
      </c>
      <c r="F26" s="60"/>
      <c r="G26" s="32">
        <f t="shared" ref="G26:G29" si="10">0.5*F26</f>
        <v>0</v>
      </c>
      <c r="H26" s="51">
        <f t="shared" ref="H26:H29" si="11">E26+G26</f>
        <v>0</v>
      </c>
      <c r="I26" s="44">
        <f t="shared" si="0"/>
        <v>2</v>
      </c>
      <c r="J26" s="44">
        <f t="shared" ref="J26:J29" si="12">IF(H26&gt;79.5, 1, IF(H26&gt;69.5, 2, IF(H26&gt;59.5, 3, IF(H26&gt;54.5, 4, IF(H26&gt;49.5, 5, IF(H26&gt;44.5, 6, IF(H26&gt;39.5, 7, IF(H26&gt;33.5, 8, IF(H26&gt;-1, 9)))))))))</f>
        <v>9</v>
      </c>
      <c r="K26" s="44" t="str">
        <f>VLOOKUP(H26,'GRADING SYSTEM'!$D$15:$F$23,3)</f>
        <v>FAIL</v>
      </c>
    </row>
    <row r="27" spans="1:11" ht="18.75" x14ac:dyDescent="0.25">
      <c r="A27" s="47" t="str">
        <f>'Info List'!A26</f>
        <v>BHS9024</v>
      </c>
      <c r="B27" s="48" t="str">
        <f>'Info List'!B26</f>
        <v>OPPONG NHYIRABA</v>
      </c>
      <c r="C27" s="49">
        <f>'Info List'!C26</f>
        <v>9</v>
      </c>
      <c r="D27" s="59"/>
      <c r="E27" s="32">
        <f t="shared" si="9"/>
        <v>0</v>
      </c>
      <c r="F27" s="60"/>
      <c r="G27" s="32">
        <f t="shared" si="10"/>
        <v>0</v>
      </c>
      <c r="H27" s="51">
        <f t="shared" si="11"/>
        <v>0</v>
      </c>
      <c r="I27" s="44">
        <f t="shared" si="0"/>
        <v>2</v>
      </c>
      <c r="J27" s="44">
        <f t="shared" si="12"/>
        <v>9</v>
      </c>
      <c r="K27" s="44" t="str">
        <f>VLOOKUP(H27,'GRADING SYSTEM'!$D$15:$F$23,3)</f>
        <v>FAIL</v>
      </c>
    </row>
    <row r="28" spans="1:11" ht="18.75" x14ac:dyDescent="0.25">
      <c r="A28" s="47" t="str">
        <f>'Info List'!A27</f>
        <v>BHS9025</v>
      </c>
      <c r="B28" s="48" t="str">
        <f>'Info List'!B27</f>
        <v>OPPONG NYAMEBA YAA</v>
      </c>
      <c r="C28" s="49">
        <f>'Info List'!C27</f>
        <v>9</v>
      </c>
      <c r="D28" s="59"/>
      <c r="E28" s="32">
        <f t="shared" si="9"/>
        <v>0</v>
      </c>
      <c r="F28" s="60"/>
      <c r="G28" s="32">
        <f t="shared" si="10"/>
        <v>0</v>
      </c>
      <c r="H28" s="51">
        <f t="shared" si="11"/>
        <v>0</v>
      </c>
      <c r="I28" s="44">
        <f t="shared" si="0"/>
        <v>2</v>
      </c>
      <c r="J28" s="44">
        <f t="shared" si="12"/>
        <v>9</v>
      </c>
      <c r="K28" s="44" t="str">
        <f>VLOOKUP(H28,'GRADING SYSTEM'!$D$15:$F$23,3)</f>
        <v>FAIL</v>
      </c>
    </row>
    <row r="29" spans="1:11" ht="18.75" x14ac:dyDescent="0.25">
      <c r="A29" s="47" t="str">
        <f>'Info List'!A28</f>
        <v>BHS9026</v>
      </c>
      <c r="B29" s="48" t="str">
        <f>'Info List'!B28</f>
        <v>QUARCOO JESSICA</v>
      </c>
      <c r="C29" s="49">
        <f>'Info List'!C28</f>
        <v>9</v>
      </c>
      <c r="D29" s="59"/>
      <c r="E29" s="32">
        <f t="shared" si="9"/>
        <v>0</v>
      </c>
      <c r="F29" s="60"/>
      <c r="G29" s="32">
        <f t="shared" si="10"/>
        <v>0</v>
      </c>
      <c r="H29" s="51">
        <f t="shared" si="11"/>
        <v>0</v>
      </c>
      <c r="I29" s="44">
        <f t="shared" si="0"/>
        <v>2</v>
      </c>
      <c r="J29" s="44">
        <f t="shared" si="12"/>
        <v>9</v>
      </c>
      <c r="K29" s="44" t="str">
        <f>VLOOKUP(H29,'GRADING SYSTEM'!$D$15:$F$23,3)</f>
        <v>FAIL</v>
      </c>
    </row>
    <row r="30" spans="1:11" ht="18.75" x14ac:dyDescent="0.25">
      <c r="A30" s="47" t="str">
        <f>'Info List'!A29</f>
        <v>BHS9027</v>
      </c>
      <c r="B30" s="48" t="str">
        <f>'Info List'!B29</f>
        <v>GAKPETOR ISAIAH</v>
      </c>
      <c r="C30" s="49">
        <f>'Info List'!C29</f>
        <v>9</v>
      </c>
      <c r="D30" s="59"/>
      <c r="E30" s="32">
        <f t="shared" ref="E30:E32" si="13">0.5*D30</f>
        <v>0</v>
      </c>
      <c r="F30" s="60"/>
      <c r="G30" s="32">
        <f t="shared" ref="G30:G32" si="14">0.5*F30</f>
        <v>0</v>
      </c>
      <c r="H30" s="51">
        <f t="shared" ref="H30:H32" si="15">E30+G30</f>
        <v>0</v>
      </c>
      <c r="I30" s="44">
        <f t="shared" si="0"/>
        <v>2</v>
      </c>
      <c r="J30" s="44">
        <f t="shared" ref="J30:J32" si="16">IF(H30&gt;79.5, 1, IF(H30&gt;69.5, 2, IF(H30&gt;59.5, 3, IF(H30&gt;54.5, 4, IF(H30&gt;49.5, 5, IF(H30&gt;44.5, 6, IF(H30&gt;39.5, 7, IF(H30&gt;33.5, 8, IF(H30&gt;-1, 9)))))))))</f>
        <v>9</v>
      </c>
      <c r="K30" s="44" t="str">
        <f>VLOOKUP(H30,'GRADING SYSTEM'!$D$15:$F$23,3)</f>
        <v>FAIL</v>
      </c>
    </row>
    <row r="31" spans="1:11" ht="18.75" x14ac:dyDescent="0.25">
      <c r="A31" s="47" t="str">
        <f>'Info List'!A30</f>
        <v>BHS9028</v>
      </c>
      <c r="B31" s="48" t="str">
        <f>'Info List'!B30</f>
        <v>SUDAIS ABDUL RAHMAN MUSA</v>
      </c>
      <c r="C31" s="49">
        <f>'Info List'!C30</f>
        <v>9</v>
      </c>
      <c r="D31" s="59"/>
      <c r="E31" s="32">
        <f t="shared" si="13"/>
        <v>0</v>
      </c>
      <c r="F31" s="60"/>
      <c r="G31" s="32">
        <f t="shared" si="14"/>
        <v>0</v>
      </c>
      <c r="H31" s="51">
        <f t="shared" si="15"/>
        <v>0</v>
      </c>
      <c r="I31" s="44">
        <f t="shared" si="0"/>
        <v>2</v>
      </c>
      <c r="J31" s="44">
        <f t="shared" si="16"/>
        <v>9</v>
      </c>
      <c r="K31" s="44" t="str">
        <f>VLOOKUP(H31,'GRADING SYSTEM'!$D$15:$F$23,3)</f>
        <v>FAIL</v>
      </c>
    </row>
    <row r="32" spans="1:11" ht="18.75" x14ac:dyDescent="0.25">
      <c r="A32" s="47" t="str">
        <f>'Info List'!A31</f>
        <v>BHS9029</v>
      </c>
      <c r="B32" s="48" t="str">
        <f>'Info List'!B31</f>
        <v>YEVAKPOR SYLVIA EYRAM</v>
      </c>
      <c r="C32" s="49">
        <f>'Info List'!C31</f>
        <v>9</v>
      </c>
      <c r="D32" s="59"/>
      <c r="E32" s="32">
        <f t="shared" si="13"/>
        <v>0</v>
      </c>
      <c r="F32" s="60"/>
      <c r="G32" s="32">
        <f t="shared" si="14"/>
        <v>0</v>
      </c>
      <c r="H32" s="51">
        <f t="shared" si="15"/>
        <v>0</v>
      </c>
      <c r="I32" s="44">
        <f t="shared" si="0"/>
        <v>2</v>
      </c>
      <c r="J32" s="44">
        <f t="shared" si="16"/>
        <v>9</v>
      </c>
      <c r="K32" s="44" t="str">
        <f>VLOOKUP(H32,'GRADING SYSTEM'!$D$15:$F$23,3)</f>
        <v>FAIL</v>
      </c>
    </row>
  </sheetData>
  <mergeCells count="7">
    <mergeCell ref="A1:K1"/>
    <mergeCell ref="B2:B3"/>
    <mergeCell ref="C2:C3"/>
    <mergeCell ref="I2:I3"/>
    <mergeCell ref="J2:J3"/>
    <mergeCell ref="K2:K3"/>
    <mergeCell ref="A2:A3"/>
  </mergeCells>
  <dataValidations count="1">
    <dataValidation type="whole" allowBlank="1" showInputMessage="1" showErrorMessage="1" errorTitle="WRONG ENTRY" error="Enter marks from 0 to 100" sqref="G4:G32" xr:uid="{00000000-0002-0000-0700-000000000000}">
      <formula1>0</formula1>
      <formula2>100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4A867F"/>
  </sheetPr>
  <dimension ref="A1:K32"/>
  <sheetViews>
    <sheetView topLeftCell="A2" zoomScale="90" zoomScaleNormal="90" workbookViewId="0">
      <selection activeCell="F6" sqref="F6"/>
    </sheetView>
  </sheetViews>
  <sheetFormatPr defaultRowHeight="15" x14ac:dyDescent="0.25"/>
  <cols>
    <col min="1" max="1" width="14.140625" customWidth="1"/>
    <col min="2" max="2" width="41.85546875" bestFit="1" customWidth="1"/>
    <col min="3" max="3" width="10.140625" customWidth="1"/>
    <col min="5" max="5" width="12.7109375" customWidth="1"/>
    <col min="6" max="6" width="13.7109375" customWidth="1"/>
    <col min="7" max="7" width="14.42578125" customWidth="1"/>
    <col min="8" max="8" width="14.140625" customWidth="1"/>
    <col min="9" max="9" width="13" customWidth="1"/>
    <col min="11" max="11" width="27.85546875" customWidth="1"/>
  </cols>
  <sheetData>
    <row r="1" spans="1:11" ht="33.75" x14ac:dyDescent="0.25">
      <c r="A1" s="90" t="s">
        <v>123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59.25" customHeight="1" x14ac:dyDescent="0.25">
      <c r="A2" s="96" t="s">
        <v>9</v>
      </c>
      <c r="B2" s="94" t="s">
        <v>2</v>
      </c>
      <c r="C2" s="94" t="s">
        <v>3</v>
      </c>
      <c r="D2" s="73" t="s">
        <v>10</v>
      </c>
      <c r="E2" s="72" t="s">
        <v>11</v>
      </c>
      <c r="F2" s="74" t="s">
        <v>57</v>
      </c>
      <c r="G2" s="72" t="s">
        <v>12</v>
      </c>
      <c r="H2" s="75" t="s">
        <v>14</v>
      </c>
      <c r="I2" s="94" t="s">
        <v>15</v>
      </c>
      <c r="J2" s="95" t="s">
        <v>16</v>
      </c>
      <c r="K2" s="94" t="s">
        <v>17</v>
      </c>
    </row>
    <row r="3" spans="1:11" ht="15" customHeight="1" x14ac:dyDescent="0.25">
      <c r="A3" s="97"/>
      <c r="B3" s="94"/>
      <c r="C3" s="94"/>
      <c r="D3" s="78">
        <v>1</v>
      </c>
      <c r="E3" s="78" t="s">
        <v>18</v>
      </c>
      <c r="F3" s="78">
        <v>1</v>
      </c>
      <c r="G3" s="78" t="s">
        <v>136</v>
      </c>
      <c r="H3" s="79" t="s">
        <v>137</v>
      </c>
      <c r="I3" s="94"/>
      <c r="J3" s="95"/>
      <c r="K3" s="94"/>
    </row>
    <row r="4" spans="1:11" ht="18.75" x14ac:dyDescent="0.25">
      <c r="A4" s="47" t="str">
        <f>'Info List'!A3</f>
        <v>BHS9001</v>
      </c>
      <c r="B4" s="48" t="str">
        <f>'Info List'!B3</f>
        <v>ABRAKWAH EVA OWUSUAA</v>
      </c>
      <c r="C4" s="49">
        <f>'Info List'!C3</f>
        <v>9</v>
      </c>
      <c r="D4" s="59">
        <v>88</v>
      </c>
      <c r="E4" s="32">
        <f>0.5*D4</f>
        <v>44</v>
      </c>
      <c r="F4" s="60">
        <v>86</v>
      </c>
      <c r="G4" s="32">
        <f>0.5*F4</f>
        <v>43</v>
      </c>
      <c r="H4" s="51">
        <f>E4+G4</f>
        <v>87</v>
      </c>
      <c r="I4" s="44">
        <f t="shared" ref="I4:I32" si="0">RANK(H4,$H$4:$H$32)</f>
        <v>1</v>
      </c>
      <c r="J4" s="44">
        <f>IF(H4&gt;79.5, 1, IF(H4&gt;69.5, 2, IF(H4&gt;59.5, 3, IF(H4&gt;54.5, 4, IF(H4&gt;49.5, 5, IF(H4&gt;44.5, 6, IF(H4&gt;39.5, 7, IF(H4&gt;33.5, 8, IF(H4&gt;-1, 9)))))))))</f>
        <v>1</v>
      </c>
      <c r="K4" s="44" t="str">
        <f>VLOOKUP(H4,'GRADING SYSTEM'!$D$15:$F$23,3)</f>
        <v>EXCELLENT</v>
      </c>
    </row>
    <row r="5" spans="1:11" ht="18.75" x14ac:dyDescent="0.25">
      <c r="A5" s="47" t="str">
        <f>'Info List'!A4</f>
        <v>BHS9002</v>
      </c>
      <c r="B5" s="48" t="str">
        <f>'Info List'!B4</f>
        <v>ADZILAFU EDWARD</v>
      </c>
      <c r="C5" s="49">
        <f>'Info List'!C4</f>
        <v>9</v>
      </c>
      <c r="D5" s="59"/>
      <c r="E5" s="32">
        <f t="shared" ref="E5:E23" si="1">0.5*D5</f>
        <v>0</v>
      </c>
      <c r="F5" s="60"/>
      <c r="G5" s="32">
        <f t="shared" ref="G5:G23" si="2">0.5*F5</f>
        <v>0</v>
      </c>
      <c r="H5" s="51">
        <f t="shared" ref="H5:H23" si="3">E5+G5</f>
        <v>0</v>
      </c>
      <c r="I5" s="44">
        <f t="shared" si="0"/>
        <v>2</v>
      </c>
      <c r="J5" s="44">
        <f t="shared" ref="J5:J23" si="4">IF(H5&gt;79.5, 1, IF(H5&gt;69.5, 2, IF(H5&gt;59.5, 3, IF(H5&gt;54.5, 4, IF(H5&gt;49.5, 5, IF(H5&gt;44.5, 6, IF(H5&gt;39.5, 7, IF(H5&gt;33.5, 8, IF(H5&gt;-1, 9)))))))))</f>
        <v>9</v>
      </c>
      <c r="K5" s="44" t="str">
        <f>VLOOKUP(H5,'GRADING SYSTEM'!$D$15:$F$23,3)</f>
        <v>FAIL</v>
      </c>
    </row>
    <row r="6" spans="1:11" ht="18.75" x14ac:dyDescent="0.25">
      <c r="A6" s="47" t="str">
        <f>'Info List'!A5</f>
        <v>BHS9003</v>
      </c>
      <c r="B6" s="48" t="str">
        <f>'Info List'!B5</f>
        <v>AGYEPONG DASEBRE</v>
      </c>
      <c r="C6" s="49">
        <f>'Info List'!C5</f>
        <v>9</v>
      </c>
      <c r="D6" s="59"/>
      <c r="E6" s="32">
        <f t="shared" si="1"/>
        <v>0</v>
      </c>
      <c r="F6" s="60"/>
      <c r="G6" s="32">
        <f t="shared" si="2"/>
        <v>0</v>
      </c>
      <c r="H6" s="51">
        <f t="shared" si="3"/>
        <v>0</v>
      </c>
      <c r="I6" s="44">
        <f t="shared" si="0"/>
        <v>2</v>
      </c>
      <c r="J6" s="44">
        <f t="shared" si="4"/>
        <v>9</v>
      </c>
      <c r="K6" s="44" t="str">
        <f>VLOOKUP(H6,'GRADING SYSTEM'!$D$15:$F$23,3)</f>
        <v>FAIL</v>
      </c>
    </row>
    <row r="7" spans="1:11" ht="18.75" x14ac:dyDescent="0.25">
      <c r="A7" s="47" t="str">
        <f>'Info List'!A6</f>
        <v>BHS9004</v>
      </c>
      <c r="B7" s="48" t="str">
        <f>'Info List'!B6</f>
        <v>ANIWA JOANA SEYRAM</v>
      </c>
      <c r="C7" s="49">
        <f>'Info List'!C6</f>
        <v>9</v>
      </c>
      <c r="D7" s="59"/>
      <c r="E7" s="32">
        <f t="shared" si="1"/>
        <v>0</v>
      </c>
      <c r="F7" s="60"/>
      <c r="G7" s="32">
        <f t="shared" si="2"/>
        <v>0</v>
      </c>
      <c r="H7" s="51">
        <f t="shared" si="3"/>
        <v>0</v>
      </c>
      <c r="I7" s="44">
        <f t="shared" si="0"/>
        <v>2</v>
      </c>
      <c r="J7" s="44">
        <f t="shared" si="4"/>
        <v>9</v>
      </c>
      <c r="K7" s="44" t="str">
        <f>VLOOKUP(H7,'GRADING SYSTEM'!$D$15:$F$23,3)</f>
        <v>FAIL</v>
      </c>
    </row>
    <row r="8" spans="1:11" ht="18.75" x14ac:dyDescent="0.25">
      <c r="A8" s="47" t="str">
        <f>'Info List'!A7</f>
        <v>BHS9005</v>
      </c>
      <c r="B8" s="48" t="str">
        <f>'Info List'!B7</f>
        <v>ANNAN AGNES</v>
      </c>
      <c r="C8" s="49">
        <f>'Info List'!C7</f>
        <v>9</v>
      </c>
      <c r="D8" s="59"/>
      <c r="E8" s="32">
        <f t="shared" si="1"/>
        <v>0</v>
      </c>
      <c r="F8" s="60"/>
      <c r="G8" s="32">
        <f t="shared" si="2"/>
        <v>0</v>
      </c>
      <c r="H8" s="51">
        <f t="shared" si="3"/>
        <v>0</v>
      </c>
      <c r="I8" s="44">
        <f t="shared" si="0"/>
        <v>2</v>
      </c>
      <c r="J8" s="44">
        <f t="shared" si="4"/>
        <v>9</v>
      </c>
      <c r="K8" s="44" t="str">
        <f>VLOOKUP(H8,'GRADING SYSTEM'!$D$15:$F$23,3)</f>
        <v>FAIL</v>
      </c>
    </row>
    <row r="9" spans="1:11" ht="18.75" x14ac:dyDescent="0.25">
      <c r="A9" s="47" t="str">
        <f>'Info List'!A8</f>
        <v>BHS9006</v>
      </c>
      <c r="B9" s="48" t="str">
        <f>'Info List'!B8</f>
        <v>ARTHUR LILLIAN ABENA</v>
      </c>
      <c r="C9" s="49">
        <f>'Info List'!C8</f>
        <v>9</v>
      </c>
      <c r="D9" s="59"/>
      <c r="E9" s="32">
        <f t="shared" si="1"/>
        <v>0</v>
      </c>
      <c r="F9" s="60"/>
      <c r="G9" s="32">
        <f t="shared" si="2"/>
        <v>0</v>
      </c>
      <c r="H9" s="51">
        <f t="shared" si="3"/>
        <v>0</v>
      </c>
      <c r="I9" s="44">
        <f t="shared" si="0"/>
        <v>2</v>
      </c>
      <c r="J9" s="44">
        <f t="shared" si="4"/>
        <v>9</v>
      </c>
      <c r="K9" s="44" t="str">
        <f>VLOOKUP(H9,'GRADING SYSTEM'!$D$15:$F$23,3)</f>
        <v>FAIL</v>
      </c>
    </row>
    <row r="10" spans="1:11" ht="18.75" x14ac:dyDescent="0.25">
      <c r="A10" s="47" t="str">
        <f>'Info List'!A9</f>
        <v>BHS9007</v>
      </c>
      <c r="B10" s="48" t="str">
        <f>'Info List'!B9</f>
        <v>ASARE JACOB</v>
      </c>
      <c r="C10" s="49">
        <f>'Info List'!C9</f>
        <v>9</v>
      </c>
      <c r="D10" s="59"/>
      <c r="E10" s="32">
        <f t="shared" si="1"/>
        <v>0</v>
      </c>
      <c r="F10" s="60"/>
      <c r="G10" s="32">
        <f t="shared" si="2"/>
        <v>0</v>
      </c>
      <c r="H10" s="51">
        <f t="shared" si="3"/>
        <v>0</v>
      </c>
      <c r="I10" s="44">
        <f t="shared" si="0"/>
        <v>2</v>
      </c>
      <c r="J10" s="44">
        <f t="shared" si="4"/>
        <v>9</v>
      </c>
      <c r="K10" s="44" t="str">
        <f>VLOOKUP(H10,'GRADING SYSTEM'!$D$15:$F$23,3)</f>
        <v>FAIL</v>
      </c>
    </row>
    <row r="11" spans="1:11" ht="18.75" x14ac:dyDescent="0.25">
      <c r="A11" s="47" t="str">
        <f>'Info List'!A10</f>
        <v>BHS9008</v>
      </c>
      <c r="B11" s="48" t="str">
        <f>'Info List'!B10</f>
        <v>BAAH JOSEPHINE KONADU</v>
      </c>
      <c r="C11" s="49">
        <f>'Info List'!C10</f>
        <v>9</v>
      </c>
      <c r="D11" s="59"/>
      <c r="E11" s="32">
        <f t="shared" si="1"/>
        <v>0</v>
      </c>
      <c r="F11" s="60"/>
      <c r="G11" s="32">
        <f t="shared" si="2"/>
        <v>0</v>
      </c>
      <c r="H11" s="51">
        <f t="shared" si="3"/>
        <v>0</v>
      </c>
      <c r="I11" s="44">
        <f t="shared" si="0"/>
        <v>2</v>
      </c>
      <c r="J11" s="44">
        <f t="shared" si="4"/>
        <v>9</v>
      </c>
      <c r="K11" s="44" t="str">
        <f>VLOOKUP(H11,'GRADING SYSTEM'!$D$15:$F$23,3)</f>
        <v>FAIL</v>
      </c>
    </row>
    <row r="12" spans="1:11" ht="18.75" x14ac:dyDescent="0.25">
      <c r="A12" s="47" t="str">
        <f>'Info List'!A11</f>
        <v>BHS9009</v>
      </c>
      <c r="B12" s="48" t="str">
        <f>'Info List'!B11</f>
        <v>BAIDOO MIDRED</v>
      </c>
      <c r="C12" s="49">
        <f>'Info List'!C11</f>
        <v>9</v>
      </c>
      <c r="D12" s="59"/>
      <c r="E12" s="32">
        <f t="shared" si="1"/>
        <v>0</v>
      </c>
      <c r="F12" s="60"/>
      <c r="G12" s="32">
        <f t="shared" si="2"/>
        <v>0</v>
      </c>
      <c r="H12" s="51">
        <f t="shared" si="3"/>
        <v>0</v>
      </c>
      <c r="I12" s="44">
        <f t="shared" si="0"/>
        <v>2</v>
      </c>
      <c r="J12" s="44">
        <f t="shared" si="4"/>
        <v>9</v>
      </c>
      <c r="K12" s="44" t="str">
        <f>VLOOKUP(H12,'GRADING SYSTEM'!$D$15:$F$23,3)</f>
        <v>FAIL</v>
      </c>
    </row>
    <row r="13" spans="1:11" ht="18.75" x14ac:dyDescent="0.25">
      <c r="A13" s="47" t="str">
        <f>'Info List'!A12</f>
        <v>BHS9010</v>
      </c>
      <c r="B13" s="48" t="str">
        <f>'Info List'!B12</f>
        <v>BOAKYE KELVIN OWUSU</v>
      </c>
      <c r="C13" s="49">
        <f>'Info List'!C12</f>
        <v>9</v>
      </c>
      <c r="D13" s="59"/>
      <c r="E13" s="32">
        <f t="shared" si="1"/>
        <v>0</v>
      </c>
      <c r="F13" s="60"/>
      <c r="G13" s="32">
        <f t="shared" si="2"/>
        <v>0</v>
      </c>
      <c r="H13" s="51">
        <f t="shared" si="3"/>
        <v>0</v>
      </c>
      <c r="I13" s="44">
        <f t="shared" si="0"/>
        <v>2</v>
      </c>
      <c r="J13" s="44">
        <f t="shared" si="4"/>
        <v>9</v>
      </c>
      <c r="K13" s="44" t="str">
        <f>VLOOKUP(H13,'GRADING SYSTEM'!$D$15:$F$23,3)</f>
        <v>FAIL</v>
      </c>
    </row>
    <row r="14" spans="1:11" ht="18.75" x14ac:dyDescent="0.25">
      <c r="A14" s="47" t="str">
        <f>'Info List'!A13</f>
        <v>BHS9011</v>
      </c>
      <c r="B14" s="48" t="str">
        <f>'Info List'!B13</f>
        <v>BOATENG NICHOLAS KELVIN</v>
      </c>
      <c r="C14" s="49">
        <f>'Info List'!C13</f>
        <v>9</v>
      </c>
      <c r="D14" s="59"/>
      <c r="E14" s="32">
        <f t="shared" si="1"/>
        <v>0</v>
      </c>
      <c r="F14" s="60"/>
      <c r="G14" s="32">
        <f t="shared" si="2"/>
        <v>0</v>
      </c>
      <c r="H14" s="51">
        <f t="shared" si="3"/>
        <v>0</v>
      </c>
      <c r="I14" s="44">
        <f t="shared" si="0"/>
        <v>2</v>
      </c>
      <c r="J14" s="44">
        <f t="shared" si="4"/>
        <v>9</v>
      </c>
      <c r="K14" s="44" t="str">
        <f>VLOOKUP(H14,'GRADING SYSTEM'!$D$15:$F$23,3)</f>
        <v>FAIL</v>
      </c>
    </row>
    <row r="15" spans="1:11" ht="18.75" x14ac:dyDescent="0.25">
      <c r="A15" s="47" t="str">
        <f>'Info List'!A14</f>
        <v>BHS9012</v>
      </c>
      <c r="B15" s="48" t="str">
        <f>'Info List'!B14</f>
        <v>CHARKITEY JOSEPH TETTEY EMEKOH</v>
      </c>
      <c r="C15" s="49">
        <f>'Info List'!C14</f>
        <v>9</v>
      </c>
      <c r="D15" s="59"/>
      <c r="E15" s="32">
        <f t="shared" si="1"/>
        <v>0</v>
      </c>
      <c r="F15" s="60"/>
      <c r="G15" s="32">
        <f t="shared" si="2"/>
        <v>0</v>
      </c>
      <c r="H15" s="51">
        <f t="shared" si="3"/>
        <v>0</v>
      </c>
      <c r="I15" s="44">
        <f t="shared" si="0"/>
        <v>2</v>
      </c>
      <c r="J15" s="44">
        <f t="shared" si="4"/>
        <v>9</v>
      </c>
      <c r="K15" s="44" t="str">
        <f>VLOOKUP(H15,'GRADING SYSTEM'!$D$15:$F$23,3)</f>
        <v>FAIL</v>
      </c>
    </row>
    <row r="16" spans="1:11" ht="18.75" x14ac:dyDescent="0.25">
      <c r="A16" s="47" t="str">
        <f>'Info List'!A15</f>
        <v>BHS9013</v>
      </c>
      <c r="B16" s="48" t="str">
        <f>'Info List'!B15</f>
        <v>DANKWAH AMA JANEL</v>
      </c>
      <c r="C16" s="49">
        <f>'Info List'!C15</f>
        <v>9</v>
      </c>
      <c r="D16" s="59"/>
      <c r="E16" s="32">
        <f t="shared" si="1"/>
        <v>0</v>
      </c>
      <c r="F16" s="60"/>
      <c r="G16" s="32">
        <f t="shared" si="2"/>
        <v>0</v>
      </c>
      <c r="H16" s="51">
        <f t="shared" si="3"/>
        <v>0</v>
      </c>
      <c r="I16" s="44">
        <f t="shared" si="0"/>
        <v>2</v>
      </c>
      <c r="J16" s="44">
        <f t="shared" si="4"/>
        <v>9</v>
      </c>
      <c r="K16" s="44" t="str">
        <f>VLOOKUP(H16,'GRADING SYSTEM'!$D$15:$F$23,3)</f>
        <v>FAIL</v>
      </c>
    </row>
    <row r="17" spans="1:11" ht="18.75" x14ac:dyDescent="0.25">
      <c r="A17" s="47" t="str">
        <f>'Info List'!A16</f>
        <v>BHS9014</v>
      </c>
      <c r="B17" s="48" t="str">
        <f>'Info List'!B16</f>
        <v>DANKWAH SHANTEL</v>
      </c>
      <c r="C17" s="49">
        <f>'Info List'!C16</f>
        <v>9</v>
      </c>
      <c r="D17" s="59"/>
      <c r="E17" s="32">
        <f t="shared" si="1"/>
        <v>0</v>
      </c>
      <c r="F17" s="60"/>
      <c r="G17" s="32">
        <f t="shared" si="2"/>
        <v>0</v>
      </c>
      <c r="H17" s="51">
        <f t="shared" si="3"/>
        <v>0</v>
      </c>
      <c r="I17" s="44">
        <f t="shared" si="0"/>
        <v>2</v>
      </c>
      <c r="J17" s="44">
        <f t="shared" si="4"/>
        <v>9</v>
      </c>
      <c r="K17" s="44" t="str">
        <f>VLOOKUP(H17,'GRADING SYSTEM'!$D$15:$F$23,3)</f>
        <v>FAIL</v>
      </c>
    </row>
    <row r="18" spans="1:11" ht="18.75" x14ac:dyDescent="0.25">
      <c r="A18" s="47" t="str">
        <f>'Info List'!A17</f>
        <v>BHS9015</v>
      </c>
      <c r="B18" s="48" t="str">
        <f>'Info List'!B17</f>
        <v>ESSILFIE ENOCH</v>
      </c>
      <c r="C18" s="49">
        <f>'Info List'!C17</f>
        <v>9</v>
      </c>
      <c r="D18" s="59"/>
      <c r="E18" s="32">
        <f t="shared" si="1"/>
        <v>0</v>
      </c>
      <c r="F18" s="60"/>
      <c r="G18" s="32">
        <f t="shared" si="2"/>
        <v>0</v>
      </c>
      <c r="H18" s="51">
        <f t="shared" si="3"/>
        <v>0</v>
      </c>
      <c r="I18" s="44">
        <f t="shared" si="0"/>
        <v>2</v>
      </c>
      <c r="J18" s="44">
        <f t="shared" si="4"/>
        <v>9</v>
      </c>
      <c r="K18" s="44" t="str">
        <f>VLOOKUP(H18,'GRADING SYSTEM'!$D$15:$F$23,3)</f>
        <v>FAIL</v>
      </c>
    </row>
    <row r="19" spans="1:11" ht="18.75" x14ac:dyDescent="0.25">
      <c r="A19" s="47" t="str">
        <f>'Info List'!A18</f>
        <v>BHS9016</v>
      </c>
      <c r="B19" s="48" t="str">
        <f>'Info List'!B18</f>
        <v>GANDAA LINDA</v>
      </c>
      <c r="C19" s="49">
        <f>'Info List'!C18</f>
        <v>9</v>
      </c>
      <c r="D19" s="59"/>
      <c r="E19" s="32">
        <f t="shared" si="1"/>
        <v>0</v>
      </c>
      <c r="F19" s="60"/>
      <c r="G19" s="32">
        <f t="shared" si="2"/>
        <v>0</v>
      </c>
      <c r="H19" s="51">
        <f t="shared" si="3"/>
        <v>0</v>
      </c>
      <c r="I19" s="44">
        <f t="shared" si="0"/>
        <v>2</v>
      </c>
      <c r="J19" s="44">
        <f t="shared" si="4"/>
        <v>9</v>
      </c>
      <c r="K19" s="44" t="str">
        <f>VLOOKUP(H19,'GRADING SYSTEM'!$D$15:$F$23,3)</f>
        <v>FAIL</v>
      </c>
    </row>
    <row r="20" spans="1:11" ht="18.75" x14ac:dyDescent="0.25">
      <c r="A20" s="47" t="str">
        <f>'Info List'!A19</f>
        <v>BHS9017</v>
      </c>
      <c r="B20" s="48" t="str">
        <f>'Info List'!B19</f>
        <v>GEORGINA DUSHIE QUEENSTAR</v>
      </c>
      <c r="C20" s="49">
        <f>'Info List'!C19</f>
        <v>9</v>
      </c>
      <c r="D20" s="59"/>
      <c r="E20" s="32">
        <f t="shared" si="1"/>
        <v>0</v>
      </c>
      <c r="F20" s="60"/>
      <c r="G20" s="32">
        <f t="shared" si="2"/>
        <v>0</v>
      </c>
      <c r="H20" s="51">
        <f t="shared" si="3"/>
        <v>0</v>
      </c>
      <c r="I20" s="44">
        <f t="shared" si="0"/>
        <v>2</v>
      </c>
      <c r="J20" s="44">
        <f t="shared" si="4"/>
        <v>9</v>
      </c>
      <c r="K20" s="44" t="str">
        <f>VLOOKUP(H20,'GRADING SYSTEM'!$D$15:$F$23,3)</f>
        <v>FAIL</v>
      </c>
    </row>
    <row r="21" spans="1:11" ht="18.75" x14ac:dyDescent="0.25">
      <c r="A21" s="47" t="str">
        <f>'Info List'!A20</f>
        <v>BHS9018</v>
      </c>
      <c r="B21" s="48" t="str">
        <f>'Info List'!B20</f>
        <v>GYAKYE AMPONSAH EKUA</v>
      </c>
      <c r="C21" s="49">
        <f>'Info List'!C20</f>
        <v>9</v>
      </c>
      <c r="D21" s="59"/>
      <c r="E21" s="32">
        <f t="shared" si="1"/>
        <v>0</v>
      </c>
      <c r="F21" s="60"/>
      <c r="G21" s="32">
        <f t="shared" si="2"/>
        <v>0</v>
      </c>
      <c r="H21" s="51">
        <f t="shared" si="3"/>
        <v>0</v>
      </c>
      <c r="I21" s="44">
        <f t="shared" si="0"/>
        <v>2</v>
      </c>
      <c r="J21" s="44">
        <f t="shared" si="4"/>
        <v>9</v>
      </c>
      <c r="K21" s="44" t="str">
        <f>VLOOKUP(H21,'GRADING SYSTEM'!$D$15:$F$23,3)</f>
        <v>FAIL</v>
      </c>
    </row>
    <row r="22" spans="1:11" ht="18.75" x14ac:dyDescent="0.25">
      <c r="A22" s="47" t="str">
        <f>'Info List'!A21</f>
        <v>BHS9019</v>
      </c>
      <c r="B22" s="48" t="str">
        <f>'Info List'!B21</f>
        <v>MENSAH GLORIA KUSI</v>
      </c>
      <c r="C22" s="49">
        <f>'Info List'!C21</f>
        <v>9</v>
      </c>
      <c r="D22" s="59"/>
      <c r="E22" s="32">
        <f t="shared" si="1"/>
        <v>0</v>
      </c>
      <c r="F22" s="60"/>
      <c r="G22" s="32">
        <f t="shared" si="2"/>
        <v>0</v>
      </c>
      <c r="H22" s="51">
        <f t="shared" si="3"/>
        <v>0</v>
      </c>
      <c r="I22" s="44">
        <f t="shared" si="0"/>
        <v>2</v>
      </c>
      <c r="J22" s="44">
        <f t="shared" si="4"/>
        <v>9</v>
      </c>
      <c r="K22" s="44" t="str">
        <f>VLOOKUP(H22,'GRADING SYSTEM'!$D$15:$F$23,3)</f>
        <v>FAIL</v>
      </c>
    </row>
    <row r="23" spans="1:11" ht="18.75" x14ac:dyDescent="0.25">
      <c r="A23" s="47" t="str">
        <f>'Info List'!A22</f>
        <v>BHS9020</v>
      </c>
      <c r="B23" s="48" t="str">
        <f>'Info List'!B22</f>
        <v>MENSAH KWASI BLESS</v>
      </c>
      <c r="C23" s="49">
        <f>'Info List'!C22</f>
        <v>9</v>
      </c>
      <c r="D23" s="59"/>
      <c r="E23" s="32">
        <f t="shared" si="1"/>
        <v>0</v>
      </c>
      <c r="F23" s="60"/>
      <c r="G23" s="32">
        <f t="shared" si="2"/>
        <v>0</v>
      </c>
      <c r="H23" s="51">
        <f t="shared" si="3"/>
        <v>0</v>
      </c>
      <c r="I23" s="44">
        <f t="shared" si="0"/>
        <v>2</v>
      </c>
      <c r="J23" s="44">
        <f t="shared" si="4"/>
        <v>9</v>
      </c>
      <c r="K23" s="44" t="str">
        <f>VLOOKUP(H23,'GRADING SYSTEM'!$D$15:$F$23,3)</f>
        <v>FAIL</v>
      </c>
    </row>
    <row r="24" spans="1:11" ht="18.75" x14ac:dyDescent="0.25">
      <c r="A24" s="47" t="str">
        <f>'Info List'!A23</f>
        <v>BHS9021</v>
      </c>
      <c r="B24" s="48" t="str">
        <f>'Info List'!B23</f>
        <v>MENSAH SHADRACK</v>
      </c>
      <c r="C24" s="49">
        <f>'Info List'!C23</f>
        <v>9</v>
      </c>
      <c r="D24" s="59"/>
      <c r="E24" s="32">
        <f t="shared" ref="E24:E25" si="5">0.5*D24</f>
        <v>0</v>
      </c>
      <c r="F24" s="60"/>
      <c r="G24" s="32">
        <f t="shared" ref="G24:G25" si="6">0.5*F24</f>
        <v>0</v>
      </c>
      <c r="H24" s="51">
        <f t="shared" ref="H24:H25" si="7">E24+G24</f>
        <v>0</v>
      </c>
      <c r="I24" s="44">
        <f t="shared" si="0"/>
        <v>2</v>
      </c>
      <c r="J24" s="44">
        <f t="shared" ref="J24:J25" si="8">IF(H24&gt;79.5, 1, IF(H24&gt;69.5, 2, IF(H24&gt;59.5, 3, IF(H24&gt;54.5, 4, IF(H24&gt;49.5, 5, IF(H24&gt;44.5, 6, IF(H24&gt;39.5, 7, IF(H24&gt;33.5, 8, IF(H24&gt;-1, 9)))))))))</f>
        <v>9</v>
      </c>
      <c r="K24" s="44" t="str">
        <f>VLOOKUP(H24,'GRADING SYSTEM'!$D$15:$F$23,3)</f>
        <v>FAIL</v>
      </c>
    </row>
    <row r="25" spans="1:11" ht="18.75" x14ac:dyDescent="0.25">
      <c r="A25" s="47" t="str">
        <f>'Info List'!A24</f>
        <v>BHS9022</v>
      </c>
      <c r="B25" s="48" t="str">
        <f>'Info List'!B24</f>
        <v>OFORI RODLYNE NANA ADOMA</v>
      </c>
      <c r="C25" s="49">
        <f>'Info List'!C24</f>
        <v>9</v>
      </c>
      <c r="D25" s="59"/>
      <c r="E25" s="32">
        <f t="shared" si="5"/>
        <v>0</v>
      </c>
      <c r="F25" s="60"/>
      <c r="G25" s="32">
        <f t="shared" si="6"/>
        <v>0</v>
      </c>
      <c r="H25" s="51">
        <f t="shared" si="7"/>
        <v>0</v>
      </c>
      <c r="I25" s="44">
        <f t="shared" si="0"/>
        <v>2</v>
      </c>
      <c r="J25" s="44">
        <f t="shared" si="8"/>
        <v>9</v>
      </c>
      <c r="K25" s="44" t="str">
        <f>VLOOKUP(H25,'GRADING SYSTEM'!$D$15:$F$23,3)</f>
        <v>FAIL</v>
      </c>
    </row>
    <row r="26" spans="1:11" ht="18.75" x14ac:dyDescent="0.25">
      <c r="A26" s="47" t="str">
        <f>'Info List'!A25</f>
        <v>BHS9023</v>
      </c>
      <c r="B26" s="48" t="str">
        <f>'Info List'!B25</f>
        <v>OPOKU JOEL ODURO SARPONG</v>
      </c>
      <c r="C26" s="49">
        <f>'Info List'!C25</f>
        <v>9</v>
      </c>
      <c r="D26" s="59"/>
      <c r="E26" s="32">
        <f t="shared" ref="E26:E29" si="9">0.5*D26</f>
        <v>0</v>
      </c>
      <c r="F26" s="60"/>
      <c r="G26" s="32">
        <f t="shared" ref="G26:G29" si="10">0.5*F26</f>
        <v>0</v>
      </c>
      <c r="H26" s="51">
        <f t="shared" ref="H26:H29" si="11">E26+G26</f>
        <v>0</v>
      </c>
      <c r="I26" s="44">
        <f t="shared" si="0"/>
        <v>2</v>
      </c>
      <c r="J26" s="44">
        <f t="shared" ref="J26:J29" si="12">IF(H26&gt;79.5, 1, IF(H26&gt;69.5, 2, IF(H26&gt;59.5, 3, IF(H26&gt;54.5, 4, IF(H26&gt;49.5, 5, IF(H26&gt;44.5, 6, IF(H26&gt;39.5, 7, IF(H26&gt;33.5, 8, IF(H26&gt;-1, 9)))))))))</f>
        <v>9</v>
      </c>
      <c r="K26" s="44" t="str">
        <f>VLOOKUP(H26,'GRADING SYSTEM'!$D$15:$F$23,3)</f>
        <v>FAIL</v>
      </c>
    </row>
    <row r="27" spans="1:11" ht="18.75" x14ac:dyDescent="0.25">
      <c r="A27" s="47" t="str">
        <f>'Info List'!A26</f>
        <v>BHS9024</v>
      </c>
      <c r="B27" s="48" t="str">
        <f>'Info List'!B26</f>
        <v>OPPONG NHYIRABA</v>
      </c>
      <c r="C27" s="49">
        <f>'Info List'!C26</f>
        <v>9</v>
      </c>
      <c r="D27" s="59"/>
      <c r="E27" s="32">
        <f t="shared" si="9"/>
        <v>0</v>
      </c>
      <c r="F27" s="60"/>
      <c r="G27" s="32">
        <f t="shared" si="10"/>
        <v>0</v>
      </c>
      <c r="H27" s="51">
        <f t="shared" si="11"/>
        <v>0</v>
      </c>
      <c r="I27" s="44">
        <f t="shared" si="0"/>
        <v>2</v>
      </c>
      <c r="J27" s="44">
        <f t="shared" si="12"/>
        <v>9</v>
      </c>
      <c r="K27" s="44" t="str">
        <f>VLOOKUP(H27,'GRADING SYSTEM'!$D$15:$F$23,3)</f>
        <v>FAIL</v>
      </c>
    </row>
    <row r="28" spans="1:11" ht="18.75" x14ac:dyDescent="0.25">
      <c r="A28" s="47" t="str">
        <f>'Info List'!A27</f>
        <v>BHS9025</v>
      </c>
      <c r="B28" s="48" t="str">
        <f>'Info List'!B27</f>
        <v>OPPONG NYAMEBA YAA</v>
      </c>
      <c r="C28" s="49">
        <f>'Info List'!C27</f>
        <v>9</v>
      </c>
      <c r="D28" s="59"/>
      <c r="E28" s="32">
        <f t="shared" si="9"/>
        <v>0</v>
      </c>
      <c r="F28" s="60"/>
      <c r="G28" s="32">
        <f t="shared" si="10"/>
        <v>0</v>
      </c>
      <c r="H28" s="51">
        <f t="shared" si="11"/>
        <v>0</v>
      </c>
      <c r="I28" s="44">
        <f t="shared" si="0"/>
        <v>2</v>
      </c>
      <c r="J28" s="44">
        <f t="shared" si="12"/>
        <v>9</v>
      </c>
      <c r="K28" s="44" t="str">
        <f>VLOOKUP(H28,'GRADING SYSTEM'!$D$15:$F$23,3)</f>
        <v>FAIL</v>
      </c>
    </row>
    <row r="29" spans="1:11" ht="18.75" x14ac:dyDescent="0.25">
      <c r="A29" s="47" t="str">
        <f>'Info List'!A28</f>
        <v>BHS9026</v>
      </c>
      <c r="B29" s="48" t="str">
        <f>'Info List'!B28</f>
        <v>QUARCOO JESSICA</v>
      </c>
      <c r="C29" s="49">
        <f>'Info List'!C28</f>
        <v>9</v>
      </c>
      <c r="D29" s="59"/>
      <c r="E29" s="32">
        <f t="shared" si="9"/>
        <v>0</v>
      </c>
      <c r="F29" s="60"/>
      <c r="G29" s="32">
        <f t="shared" si="10"/>
        <v>0</v>
      </c>
      <c r="H29" s="51">
        <f t="shared" si="11"/>
        <v>0</v>
      </c>
      <c r="I29" s="44">
        <f t="shared" si="0"/>
        <v>2</v>
      </c>
      <c r="J29" s="44">
        <f t="shared" si="12"/>
        <v>9</v>
      </c>
      <c r="K29" s="44" t="str">
        <f>VLOOKUP(H29,'GRADING SYSTEM'!$D$15:$F$23,3)</f>
        <v>FAIL</v>
      </c>
    </row>
    <row r="30" spans="1:11" ht="18.75" x14ac:dyDescent="0.25">
      <c r="A30" s="47" t="str">
        <f>'Info List'!A29</f>
        <v>BHS9027</v>
      </c>
      <c r="B30" s="48" t="str">
        <f>'Info List'!B29</f>
        <v>GAKPETOR ISAIAH</v>
      </c>
      <c r="C30" s="49">
        <f>'Info List'!C29</f>
        <v>9</v>
      </c>
      <c r="D30" s="59"/>
      <c r="E30" s="32">
        <f t="shared" ref="E30:E32" si="13">0.5*D30</f>
        <v>0</v>
      </c>
      <c r="F30" s="60"/>
      <c r="G30" s="32">
        <f t="shared" ref="G30:G32" si="14">0.5*F30</f>
        <v>0</v>
      </c>
      <c r="H30" s="51">
        <f t="shared" ref="H30:H32" si="15">E30+G30</f>
        <v>0</v>
      </c>
      <c r="I30" s="44">
        <f t="shared" si="0"/>
        <v>2</v>
      </c>
      <c r="J30" s="44">
        <f t="shared" ref="J30:J32" si="16">IF(H30&gt;79.5, 1, IF(H30&gt;69.5, 2, IF(H30&gt;59.5, 3, IF(H30&gt;54.5, 4, IF(H30&gt;49.5, 5, IF(H30&gt;44.5, 6, IF(H30&gt;39.5, 7, IF(H30&gt;33.5, 8, IF(H30&gt;-1, 9)))))))))</f>
        <v>9</v>
      </c>
      <c r="K30" s="44" t="str">
        <f>VLOOKUP(H30,'GRADING SYSTEM'!$D$15:$F$23,3)</f>
        <v>FAIL</v>
      </c>
    </row>
    <row r="31" spans="1:11" ht="18.75" x14ac:dyDescent="0.25">
      <c r="A31" s="47" t="str">
        <f>'Info List'!A30</f>
        <v>BHS9028</v>
      </c>
      <c r="B31" s="48" t="str">
        <f>'Info List'!B30</f>
        <v>SUDAIS ABDUL RAHMAN MUSA</v>
      </c>
      <c r="C31" s="49">
        <f>'Info List'!C30</f>
        <v>9</v>
      </c>
      <c r="D31" s="59"/>
      <c r="E31" s="32">
        <f t="shared" si="13"/>
        <v>0</v>
      </c>
      <c r="F31" s="60"/>
      <c r="G31" s="32">
        <f t="shared" si="14"/>
        <v>0</v>
      </c>
      <c r="H31" s="51">
        <f t="shared" si="15"/>
        <v>0</v>
      </c>
      <c r="I31" s="44">
        <f t="shared" si="0"/>
        <v>2</v>
      </c>
      <c r="J31" s="44">
        <f t="shared" si="16"/>
        <v>9</v>
      </c>
      <c r="K31" s="44" t="str">
        <f>VLOOKUP(H31,'GRADING SYSTEM'!$D$15:$F$23,3)</f>
        <v>FAIL</v>
      </c>
    </row>
    <row r="32" spans="1:11" ht="18.75" x14ac:dyDescent="0.25">
      <c r="A32" s="47" t="str">
        <f>'Info List'!A31</f>
        <v>BHS9029</v>
      </c>
      <c r="B32" s="48" t="str">
        <f>'Info List'!B31</f>
        <v>YEVAKPOR SYLVIA EYRAM</v>
      </c>
      <c r="C32" s="49">
        <f>'Info List'!C31</f>
        <v>9</v>
      </c>
      <c r="D32" s="59"/>
      <c r="E32" s="32">
        <f t="shared" si="13"/>
        <v>0</v>
      </c>
      <c r="F32" s="60"/>
      <c r="G32" s="32">
        <f t="shared" si="14"/>
        <v>0</v>
      </c>
      <c r="H32" s="51">
        <f t="shared" si="15"/>
        <v>0</v>
      </c>
      <c r="I32" s="44">
        <f t="shared" si="0"/>
        <v>2</v>
      </c>
      <c r="J32" s="44">
        <f t="shared" si="16"/>
        <v>9</v>
      </c>
      <c r="K32" s="44" t="str">
        <f>VLOOKUP(H32,'GRADING SYSTEM'!$D$15:$F$23,3)</f>
        <v>FAIL</v>
      </c>
    </row>
  </sheetData>
  <mergeCells count="7">
    <mergeCell ref="A1:K1"/>
    <mergeCell ref="B2:B3"/>
    <mergeCell ref="C2:C3"/>
    <mergeCell ref="I2:I3"/>
    <mergeCell ref="J2:J3"/>
    <mergeCell ref="K2:K3"/>
    <mergeCell ref="A2:A3"/>
  </mergeCells>
  <dataValidations count="1">
    <dataValidation type="whole" allowBlank="1" showInputMessage="1" showErrorMessage="1" errorTitle="WRONG ENTRY" error="Enter marks from 0 to 100" sqref="G4:G32" xr:uid="{00000000-0002-0000-0800-000000000000}">
      <formula1>0</formula1>
      <formula2>100</formula2>
    </dataValidation>
  </dataValidation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AC808"/>
  </sheetPr>
  <dimension ref="A1:K32"/>
  <sheetViews>
    <sheetView tabSelected="1" zoomScale="90" zoomScaleNormal="90" workbookViewId="0">
      <selection activeCell="F5" sqref="F5"/>
    </sheetView>
  </sheetViews>
  <sheetFormatPr defaultRowHeight="15" x14ac:dyDescent="0.25"/>
  <cols>
    <col min="1" max="1" width="13" customWidth="1"/>
    <col min="2" max="2" width="47.42578125" customWidth="1"/>
    <col min="3" max="3" width="10.140625" customWidth="1"/>
    <col min="5" max="6" width="12.7109375" customWidth="1"/>
    <col min="7" max="7" width="13.140625" customWidth="1"/>
    <col min="8" max="8" width="15.42578125" customWidth="1"/>
    <col min="9" max="9" width="12.42578125" customWidth="1"/>
    <col min="11" max="11" width="29" customWidth="1"/>
  </cols>
  <sheetData>
    <row r="1" spans="1:11" ht="33.75" x14ac:dyDescent="0.25">
      <c r="A1" s="90" t="s">
        <v>41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65.25" customHeight="1" x14ac:dyDescent="0.25">
      <c r="A2" s="96" t="s">
        <v>9</v>
      </c>
      <c r="B2" s="94" t="s">
        <v>2</v>
      </c>
      <c r="C2" s="94" t="s">
        <v>3</v>
      </c>
      <c r="D2" s="73" t="s">
        <v>10</v>
      </c>
      <c r="E2" s="72" t="s">
        <v>11</v>
      </c>
      <c r="F2" s="74" t="s">
        <v>57</v>
      </c>
      <c r="G2" s="72" t="s">
        <v>12</v>
      </c>
      <c r="H2" s="75" t="s">
        <v>14</v>
      </c>
      <c r="I2" s="94" t="s">
        <v>15</v>
      </c>
      <c r="J2" s="95" t="s">
        <v>16</v>
      </c>
      <c r="K2" s="94" t="s">
        <v>17</v>
      </c>
    </row>
    <row r="3" spans="1:11" ht="15" customHeight="1" x14ac:dyDescent="0.25">
      <c r="A3" s="97"/>
      <c r="B3" s="94"/>
      <c r="C3" s="94"/>
      <c r="D3" s="78">
        <v>1</v>
      </c>
      <c r="E3" s="78" t="s">
        <v>18</v>
      </c>
      <c r="F3" s="78">
        <v>1</v>
      </c>
      <c r="G3" s="78" t="s">
        <v>136</v>
      </c>
      <c r="H3" s="79" t="s">
        <v>137</v>
      </c>
      <c r="I3" s="94"/>
      <c r="J3" s="95"/>
      <c r="K3" s="94"/>
    </row>
    <row r="4" spans="1:11" ht="18.75" x14ac:dyDescent="0.25">
      <c r="A4" s="47" t="str">
        <f>'Info List'!A3</f>
        <v>BHS9001</v>
      </c>
      <c r="B4" s="48" t="str">
        <f>'Info List'!B3</f>
        <v>ABRAKWAH EVA OWUSUAA</v>
      </c>
      <c r="C4" s="49">
        <f>'Info List'!C3</f>
        <v>9</v>
      </c>
      <c r="D4" s="59">
        <v>83</v>
      </c>
      <c r="E4" s="32">
        <f>0.5*D4</f>
        <v>41.5</v>
      </c>
      <c r="F4" s="60">
        <v>80</v>
      </c>
      <c r="G4" s="32">
        <f>0.5*F4</f>
        <v>40</v>
      </c>
      <c r="H4" s="51">
        <f>E4+G4</f>
        <v>81.5</v>
      </c>
      <c r="I4" s="44">
        <f t="shared" ref="I4:I32" si="0">RANK(H4,$H$4:$H$32)</f>
        <v>1</v>
      </c>
      <c r="J4" s="44">
        <f>IF(H4&gt;79.5, 1, IF(H4&gt;69.5, 2, IF(H4&gt;59.5, 3, IF(H4&gt;54.5, 4, IF(H4&gt;49.5, 5, IF(H4&gt;44.5, 6, IF(H4&gt;39.5, 7, IF(H4&gt;33.5, 8, IF(H4&gt;-1, 9)))))))))</f>
        <v>1</v>
      </c>
      <c r="K4" s="44" t="str">
        <f>VLOOKUP(H4,'GRADING SYSTEM'!$D$15:$F$23,3)</f>
        <v>EXCELLENT</v>
      </c>
    </row>
    <row r="5" spans="1:11" ht="18.75" x14ac:dyDescent="0.25">
      <c r="A5" s="47" t="str">
        <f>'Info List'!A4</f>
        <v>BHS9002</v>
      </c>
      <c r="B5" s="48" t="str">
        <f>'Info List'!B4</f>
        <v>ADZILAFU EDWARD</v>
      </c>
      <c r="C5" s="49">
        <f>'Info List'!C4</f>
        <v>9</v>
      </c>
      <c r="D5" s="59"/>
      <c r="E5" s="32">
        <f t="shared" ref="E5:E23" si="1">0.5*D5</f>
        <v>0</v>
      </c>
      <c r="F5" s="60"/>
      <c r="G5" s="32">
        <f t="shared" ref="G5:G23" si="2">0.5*F5</f>
        <v>0</v>
      </c>
      <c r="H5" s="51">
        <f t="shared" ref="H5:H23" si="3">E5+G5</f>
        <v>0</v>
      </c>
      <c r="I5" s="44">
        <f t="shared" si="0"/>
        <v>2</v>
      </c>
      <c r="J5" s="44">
        <f t="shared" ref="J5:J23" si="4">IF(H5&gt;79.5, 1, IF(H5&gt;69.5, 2, IF(H5&gt;59.5, 3, IF(H5&gt;54.5, 4, IF(H5&gt;49.5, 5, IF(H5&gt;44.5, 6, IF(H5&gt;39.5, 7, IF(H5&gt;33.5, 8, IF(H5&gt;-1, 9)))))))))</f>
        <v>9</v>
      </c>
      <c r="K5" s="44" t="str">
        <f>VLOOKUP(H5,'GRADING SYSTEM'!$D$15:$F$23,3)</f>
        <v>FAIL</v>
      </c>
    </row>
    <row r="6" spans="1:11" ht="18.75" x14ac:dyDescent="0.25">
      <c r="A6" s="47" t="str">
        <f>'Info List'!A5</f>
        <v>BHS9003</v>
      </c>
      <c r="B6" s="48" t="str">
        <f>'Info List'!B5</f>
        <v>AGYEPONG DASEBRE</v>
      </c>
      <c r="C6" s="49">
        <f>'Info List'!C5</f>
        <v>9</v>
      </c>
      <c r="D6" s="59"/>
      <c r="E6" s="32">
        <f t="shared" si="1"/>
        <v>0</v>
      </c>
      <c r="F6" s="60"/>
      <c r="G6" s="32">
        <f t="shared" si="2"/>
        <v>0</v>
      </c>
      <c r="H6" s="51">
        <f t="shared" si="3"/>
        <v>0</v>
      </c>
      <c r="I6" s="44">
        <f t="shared" si="0"/>
        <v>2</v>
      </c>
      <c r="J6" s="44">
        <f t="shared" si="4"/>
        <v>9</v>
      </c>
      <c r="K6" s="44" t="str">
        <f>VLOOKUP(H6,'GRADING SYSTEM'!$D$15:$F$23,3)</f>
        <v>FAIL</v>
      </c>
    </row>
    <row r="7" spans="1:11" ht="18.75" x14ac:dyDescent="0.25">
      <c r="A7" s="47" t="str">
        <f>'Info List'!A6</f>
        <v>BHS9004</v>
      </c>
      <c r="B7" s="48" t="str">
        <f>'Info List'!B6</f>
        <v>ANIWA JOANA SEYRAM</v>
      </c>
      <c r="C7" s="49">
        <f>'Info List'!C6</f>
        <v>9</v>
      </c>
      <c r="D7" s="59"/>
      <c r="E7" s="32">
        <f t="shared" si="1"/>
        <v>0</v>
      </c>
      <c r="F7" s="60"/>
      <c r="G7" s="32">
        <f t="shared" si="2"/>
        <v>0</v>
      </c>
      <c r="H7" s="51">
        <f t="shared" si="3"/>
        <v>0</v>
      </c>
      <c r="I7" s="44">
        <f t="shared" si="0"/>
        <v>2</v>
      </c>
      <c r="J7" s="44">
        <f t="shared" si="4"/>
        <v>9</v>
      </c>
      <c r="K7" s="44" t="str">
        <f>VLOOKUP(H7,'GRADING SYSTEM'!$D$15:$F$23,3)</f>
        <v>FAIL</v>
      </c>
    </row>
    <row r="8" spans="1:11" ht="18.75" x14ac:dyDescent="0.25">
      <c r="A8" s="47" t="str">
        <f>'Info List'!A7</f>
        <v>BHS9005</v>
      </c>
      <c r="B8" s="48" t="str">
        <f>'Info List'!B7</f>
        <v>ANNAN AGNES</v>
      </c>
      <c r="C8" s="49">
        <f>'Info List'!C7</f>
        <v>9</v>
      </c>
      <c r="D8" s="59"/>
      <c r="E8" s="32">
        <f t="shared" si="1"/>
        <v>0</v>
      </c>
      <c r="F8" s="60"/>
      <c r="G8" s="32">
        <f t="shared" si="2"/>
        <v>0</v>
      </c>
      <c r="H8" s="51">
        <f t="shared" si="3"/>
        <v>0</v>
      </c>
      <c r="I8" s="44">
        <f t="shared" si="0"/>
        <v>2</v>
      </c>
      <c r="J8" s="44">
        <f t="shared" si="4"/>
        <v>9</v>
      </c>
      <c r="K8" s="44" t="str">
        <f>VLOOKUP(H8,'GRADING SYSTEM'!$D$15:$F$23,3)</f>
        <v>FAIL</v>
      </c>
    </row>
    <row r="9" spans="1:11" ht="18.75" x14ac:dyDescent="0.25">
      <c r="A9" s="47" t="str">
        <f>'Info List'!A8</f>
        <v>BHS9006</v>
      </c>
      <c r="B9" s="48" t="str">
        <f>'Info List'!B8</f>
        <v>ARTHUR LILLIAN ABENA</v>
      </c>
      <c r="C9" s="49">
        <f>'Info List'!C8</f>
        <v>9</v>
      </c>
      <c r="D9" s="59"/>
      <c r="E9" s="32">
        <f t="shared" si="1"/>
        <v>0</v>
      </c>
      <c r="F9" s="60"/>
      <c r="G9" s="32">
        <f t="shared" si="2"/>
        <v>0</v>
      </c>
      <c r="H9" s="51">
        <f t="shared" si="3"/>
        <v>0</v>
      </c>
      <c r="I9" s="44">
        <f t="shared" si="0"/>
        <v>2</v>
      </c>
      <c r="J9" s="44">
        <f t="shared" si="4"/>
        <v>9</v>
      </c>
      <c r="K9" s="44" t="str">
        <f>VLOOKUP(H9,'GRADING SYSTEM'!$D$15:$F$23,3)</f>
        <v>FAIL</v>
      </c>
    </row>
    <row r="10" spans="1:11" ht="18.75" x14ac:dyDescent="0.25">
      <c r="A10" s="47" t="str">
        <f>'Info List'!A9</f>
        <v>BHS9007</v>
      </c>
      <c r="B10" s="48" t="str">
        <f>'Info List'!B9</f>
        <v>ASARE JACOB</v>
      </c>
      <c r="C10" s="49">
        <f>'Info List'!C9</f>
        <v>9</v>
      </c>
      <c r="D10" s="59"/>
      <c r="E10" s="32">
        <f t="shared" si="1"/>
        <v>0</v>
      </c>
      <c r="F10" s="60"/>
      <c r="G10" s="32">
        <f t="shared" si="2"/>
        <v>0</v>
      </c>
      <c r="H10" s="51">
        <f t="shared" si="3"/>
        <v>0</v>
      </c>
      <c r="I10" s="44">
        <f t="shared" si="0"/>
        <v>2</v>
      </c>
      <c r="J10" s="44">
        <f t="shared" si="4"/>
        <v>9</v>
      </c>
      <c r="K10" s="44" t="str">
        <f>VLOOKUP(H10,'GRADING SYSTEM'!$D$15:$F$23,3)</f>
        <v>FAIL</v>
      </c>
    </row>
    <row r="11" spans="1:11" ht="18.75" x14ac:dyDescent="0.25">
      <c r="A11" s="47" t="str">
        <f>'Info List'!A10</f>
        <v>BHS9008</v>
      </c>
      <c r="B11" s="48" t="str">
        <f>'Info List'!B10</f>
        <v>BAAH JOSEPHINE KONADU</v>
      </c>
      <c r="C11" s="49">
        <f>'Info List'!C10</f>
        <v>9</v>
      </c>
      <c r="D11" s="59"/>
      <c r="E11" s="32">
        <f t="shared" si="1"/>
        <v>0</v>
      </c>
      <c r="F11" s="60"/>
      <c r="G11" s="32">
        <f t="shared" si="2"/>
        <v>0</v>
      </c>
      <c r="H11" s="51">
        <f t="shared" si="3"/>
        <v>0</v>
      </c>
      <c r="I11" s="44">
        <f t="shared" si="0"/>
        <v>2</v>
      </c>
      <c r="J11" s="44">
        <f t="shared" si="4"/>
        <v>9</v>
      </c>
      <c r="K11" s="44" t="str">
        <f>VLOOKUP(H11,'GRADING SYSTEM'!$D$15:$F$23,3)</f>
        <v>FAIL</v>
      </c>
    </row>
    <row r="12" spans="1:11" ht="18.75" x14ac:dyDescent="0.25">
      <c r="A12" s="47" t="str">
        <f>'Info List'!A11</f>
        <v>BHS9009</v>
      </c>
      <c r="B12" s="48" t="str">
        <f>'Info List'!B11</f>
        <v>BAIDOO MIDRED</v>
      </c>
      <c r="C12" s="49">
        <f>'Info List'!C11</f>
        <v>9</v>
      </c>
      <c r="D12" s="59"/>
      <c r="E12" s="32">
        <f t="shared" si="1"/>
        <v>0</v>
      </c>
      <c r="F12" s="60"/>
      <c r="G12" s="32">
        <f t="shared" si="2"/>
        <v>0</v>
      </c>
      <c r="H12" s="51">
        <f t="shared" si="3"/>
        <v>0</v>
      </c>
      <c r="I12" s="44">
        <f t="shared" si="0"/>
        <v>2</v>
      </c>
      <c r="J12" s="44">
        <f t="shared" si="4"/>
        <v>9</v>
      </c>
      <c r="K12" s="44" t="str">
        <f>VLOOKUP(H12,'GRADING SYSTEM'!$D$15:$F$23,3)</f>
        <v>FAIL</v>
      </c>
    </row>
    <row r="13" spans="1:11" ht="18.75" x14ac:dyDescent="0.25">
      <c r="A13" s="47" t="str">
        <f>'Info List'!A12</f>
        <v>BHS9010</v>
      </c>
      <c r="B13" s="48" t="str">
        <f>'Info List'!B12</f>
        <v>BOAKYE KELVIN OWUSU</v>
      </c>
      <c r="C13" s="49">
        <f>'Info List'!C12</f>
        <v>9</v>
      </c>
      <c r="D13" s="59"/>
      <c r="E13" s="32">
        <f t="shared" si="1"/>
        <v>0</v>
      </c>
      <c r="F13" s="60"/>
      <c r="G13" s="32">
        <f t="shared" si="2"/>
        <v>0</v>
      </c>
      <c r="H13" s="51">
        <f t="shared" si="3"/>
        <v>0</v>
      </c>
      <c r="I13" s="44">
        <f t="shared" si="0"/>
        <v>2</v>
      </c>
      <c r="J13" s="44">
        <f t="shared" si="4"/>
        <v>9</v>
      </c>
      <c r="K13" s="44" t="str">
        <f>VLOOKUP(H13,'GRADING SYSTEM'!$D$15:$F$23,3)</f>
        <v>FAIL</v>
      </c>
    </row>
    <row r="14" spans="1:11" ht="18.75" x14ac:dyDescent="0.25">
      <c r="A14" s="47" t="str">
        <f>'Info List'!A13</f>
        <v>BHS9011</v>
      </c>
      <c r="B14" s="48" t="str">
        <f>'Info List'!B13</f>
        <v>BOATENG NICHOLAS KELVIN</v>
      </c>
      <c r="C14" s="49">
        <f>'Info List'!C13</f>
        <v>9</v>
      </c>
      <c r="D14" s="59"/>
      <c r="E14" s="32">
        <f t="shared" si="1"/>
        <v>0</v>
      </c>
      <c r="F14" s="60"/>
      <c r="G14" s="32">
        <f t="shared" si="2"/>
        <v>0</v>
      </c>
      <c r="H14" s="51">
        <f t="shared" si="3"/>
        <v>0</v>
      </c>
      <c r="I14" s="44">
        <f t="shared" si="0"/>
        <v>2</v>
      </c>
      <c r="J14" s="44">
        <f t="shared" si="4"/>
        <v>9</v>
      </c>
      <c r="K14" s="44" t="str">
        <f>VLOOKUP(H14,'GRADING SYSTEM'!$D$15:$F$23,3)</f>
        <v>FAIL</v>
      </c>
    </row>
    <row r="15" spans="1:11" ht="18.75" x14ac:dyDescent="0.25">
      <c r="A15" s="47" t="str">
        <f>'Info List'!A14</f>
        <v>BHS9012</v>
      </c>
      <c r="B15" s="48" t="str">
        <f>'Info List'!B14</f>
        <v>CHARKITEY JOSEPH TETTEY EMEKOH</v>
      </c>
      <c r="C15" s="49">
        <f>'Info List'!C14</f>
        <v>9</v>
      </c>
      <c r="D15" s="59"/>
      <c r="E15" s="32">
        <f t="shared" si="1"/>
        <v>0</v>
      </c>
      <c r="F15" s="60"/>
      <c r="G15" s="32">
        <f t="shared" si="2"/>
        <v>0</v>
      </c>
      <c r="H15" s="51">
        <f t="shared" si="3"/>
        <v>0</v>
      </c>
      <c r="I15" s="44">
        <f t="shared" si="0"/>
        <v>2</v>
      </c>
      <c r="J15" s="44">
        <f t="shared" si="4"/>
        <v>9</v>
      </c>
      <c r="K15" s="44" t="str">
        <f>VLOOKUP(H15,'GRADING SYSTEM'!$D$15:$F$23,3)</f>
        <v>FAIL</v>
      </c>
    </row>
    <row r="16" spans="1:11" ht="18.75" x14ac:dyDescent="0.25">
      <c r="A16" s="47" t="str">
        <f>'Info List'!A15</f>
        <v>BHS9013</v>
      </c>
      <c r="B16" s="48" t="str">
        <f>'Info List'!B15</f>
        <v>DANKWAH AMA JANEL</v>
      </c>
      <c r="C16" s="49">
        <f>'Info List'!C15</f>
        <v>9</v>
      </c>
      <c r="D16" s="59"/>
      <c r="E16" s="32">
        <f t="shared" si="1"/>
        <v>0</v>
      </c>
      <c r="F16" s="60"/>
      <c r="G16" s="32">
        <f t="shared" si="2"/>
        <v>0</v>
      </c>
      <c r="H16" s="51">
        <f t="shared" si="3"/>
        <v>0</v>
      </c>
      <c r="I16" s="44">
        <f t="shared" si="0"/>
        <v>2</v>
      </c>
      <c r="J16" s="44">
        <f t="shared" si="4"/>
        <v>9</v>
      </c>
      <c r="K16" s="44" t="str">
        <f>VLOOKUP(H16,'GRADING SYSTEM'!$D$15:$F$23,3)</f>
        <v>FAIL</v>
      </c>
    </row>
    <row r="17" spans="1:11" ht="18.75" x14ac:dyDescent="0.25">
      <c r="A17" s="47" t="str">
        <f>'Info List'!A16</f>
        <v>BHS9014</v>
      </c>
      <c r="B17" s="48" t="str">
        <f>'Info List'!B16</f>
        <v>DANKWAH SHANTEL</v>
      </c>
      <c r="C17" s="49">
        <f>'Info List'!C16</f>
        <v>9</v>
      </c>
      <c r="D17" s="59"/>
      <c r="E17" s="32">
        <f t="shared" si="1"/>
        <v>0</v>
      </c>
      <c r="F17" s="60"/>
      <c r="G17" s="32">
        <f t="shared" si="2"/>
        <v>0</v>
      </c>
      <c r="H17" s="51">
        <f t="shared" si="3"/>
        <v>0</v>
      </c>
      <c r="I17" s="44">
        <f t="shared" si="0"/>
        <v>2</v>
      </c>
      <c r="J17" s="44">
        <f t="shared" si="4"/>
        <v>9</v>
      </c>
      <c r="K17" s="44" t="str">
        <f>VLOOKUP(H17,'GRADING SYSTEM'!$D$15:$F$23,3)</f>
        <v>FAIL</v>
      </c>
    </row>
    <row r="18" spans="1:11" ht="18.75" x14ac:dyDescent="0.25">
      <c r="A18" s="47" t="str">
        <f>'Info List'!A17</f>
        <v>BHS9015</v>
      </c>
      <c r="B18" s="48" t="str">
        <f>'Info List'!B17</f>
        <v>ESSILFIE ENOCH</v>
      </c>
      <c r="C18" s="49">
        <f>'Info List'!C17</f>
        <v>9</v>
      </c>
      <c r="D18" s="59"/>
      <c r="E18" s="32">
        <f t="shared" si="1"/>
        <v>0</v>
      </c>
      <c r="F18" s="60"/>
      <c r="G18" s="32">
        <f t="shared" si="2"/>
        <v>0</v>
      </c>
      <c r="H18" s="51">
        <f t="shared" si="3"/>
        <v>0</v>
      </c>
      <c r="I18" s="44">
        <f t="shared" si="0"/>
        <v>2</v>
      </c>
      <c r="J18" s="44">
        <f t="shared" si="4"/>
        <v>9</v>
      </c>
      <c r="K18" s="44" t="str">
        <f>VLOOKUP(H18,'GRADING SYSTEM'!$D$15:$F$23,3)</f>
        <v>FAIL</v>
      </c>
    </row>
    <row r="19" spans="1:11" ht="18.75" x14ac:dyDescent="0.25">
      <c r="A19" s="47" t="str">
        <f>'Info List'!A18</f>
        <v>BHS9016</v>
      </c>
      <c r="B19" s="48" t="str">
        <f>'Info List'!B18</f>
        <v>GANDAA LINDA</v>
      </c>
      <c r="C19" s="49">
        <f>'Info List'!C18</f>
        <v>9</v>
      </c>
      <c r="D19" s="59"/>
      <c r="E19" s="32">
        <f t="shared" si="1"/>
        <v>0</v>
      </c>
      <c r="F19" s="60"/>
      <c r="G19" s="32">
        <f t="shared" si="2"/>
        <v>0</v>
      </c>
      <c r="H19" s="51">
        <f t="shared" si="3"/>
        <v>0</v>
      </c>
      <c r="I19" s="44">
        <f t="shared" si="0"/>
        <v>2</v>
      </c>
      <c r="J19" s="44">
        <f t="shared" si="4"/>
        <v>9</v>
      </c>
      <c r="K19" s="44" t="str">
        <f>VLOOKUP(H19,'GRADING SYSTEM'!$D$15:$F$23,3)</f>
        <v>FAIL</v>
      </c>
    </row>
    <row r="20" spans="1:11" ht="18.75" x14ac:dyDescent="0.25">
      <c r="A20" s="47" t="str">
        <f>'Info List'!A19</f>
        <v>BHS9017</v>
      </c>
      <c r="B20" s="48" t="str">
        <f>'Info List'!B19</f>
        <v>GEORGINA DUSHIE QUEENSTAR</v>
      </c>
      <c r="C20" s="49">
        <f>'Info List'!C19</f>
        <v>9</v>
      </c>
      <c r="D20" s="59"/>
      <c r="E20" s="32">
        <f t="shared" si="1"/>
        <v>0</v>
      </c>
      <c r="F20" s="60"/>
      <c r="G20" s="32">
        <f t="shared" si="2"/>
        <v>0</v>
      </c>
      <c r="H20" s="51">
        <f t="shared" si="3"/>
        <v>0</v>
      </c>
      <c r="I20" s="44">
        <f t="shared" si="0"/>
        <v>2</v>
      </c>
      <c r="J20" s="44">
        <f t="shared" si="4"/>
        <v>9</v>
      </c>
      <c r="K20" s="44" t="str">
        <f>VLOOKUP(H20,'GRADING SYSTEM'!$D$15:$F$23,3)</f>
        <v>FAIL</v>
      </c>
    </row>
    <row r="21" spans="1:11" ht="18.75" x14ac:dyDescent="0.25">
      <c r="A21" s="47" t="str">
        <f>'Info List'!A20</f>
        <v>BHS9018</v>
      </c>
      <c r="B21" s="48" t="str">
        <f>'Info List'!B20</f>
        <v>GYAKYE AMPONSAH EKUA</v>
      </c>
      <c r="C21" s="49">
        <f>'Info List'!C20</f>
        <v>9</v>
      </c>
      <c r="D21" s="59"/>
      <c r="E21" s="32">
        <f t="shared" si="1"/>
        <v>0</v>
      </c>
      <c r="F21" s="60"/>
      <c r="G21" s="32">
        <f t="shared" si="2"/>
        <v>0</v>
      </c>
      <c r="H21" s="51">
        <f t="shared" si="3"/>
        <v>0</v>
      </c>
      <c r="I21" s="44">
        <f t="shared" si="0"/>
        <v>2</v>
      </c>
      <c r="J21" s="44">
        <f t="shared" si="4"/>
        <v>9</v>
      </c>
      <c r="K21" s="44" t="str">
        <f>VLOOKUP(H21,'GRADING SYSTEM'!$D$15:$F$23,3)</f>
        <v>FAIL</v>
      </c>
    </row>
    <row r="22" spans="1:11" ht="18.75" x14ac:dyDescent="0.25">
      <c r="A22" s="47" t="str">
        <f>'Info List'!A21</f>
        <v>BHS9019</v>
      </c>
      <c r="B22" s="48" t="str">
        <f>'Info List'!B21</f>
        <v>MENSAH GLORIA KUSI</v>
      </c>
      <c r="C22" s="49">
        <f>'Info List'!C21</f>
        <v>9</v>
      </c>
      <c r="D22" s="59"/>
      <c r="E22" s="32">
        <f t="shared" si="1"/>
        <v>0</v>
      </c>
      <c r="F22" s="60"/>
      <c r="G22" s="32">
        <f t="shared" si="2"/>
        <v>0</v>
      </c>
      <c r="H22" s="51">
        <f t="shared" si="3"/>
        <v>0</v>
      </c>
      <c r="I22" s="44">
        <f t="shared" si="0"/>
        <v>2</v>
      </c>
      <c r="J22" s="44">
        <f t="shared" si="4"/>
        <v>9</v>
      </c>
      <c r="K22" s="44" t="str">
        <f>VLOOKUP(H22,'GRADING SYSTEM'!$D$15:$F$23,3)</f>
        <v>FAIL</v>
      </c>
    </row>
    <row r="23" spans="1:11" ht="18.75" x14ac:dyDescent="0.25">
      <c r="A23" s="47" t="str">
        <f>'Info List'!A22</f>
        <v>BHS9020</v>
      </c>
      <c r="B23" s="48" t="str">
        <f>'Info List'!B22</f>
        <v>MENSAH KWASI BLESS</v>
      </c>
      <c r="C23" s="49">
        <f>'Info List'!C22</f>
        <v>9</v>
      </c>
      <c r="D23" s="59"/>
      <c r="E23" s="32">
        <f t="shared" si="1"/>
        <v>0</v>
      </c>
      <c r="F23" s="60"/>
      <c r="G23" s="32">
        <f t="shared" si="2"/>
        <v>0</v>
      </c>
      <c r="H23" s="51">
        <f t="shared" si="3"/>
        <v>0</v>
      </c>
      <c r="I23" s="44">
        <f t="shared" si="0"/>
        <v>2</v>
      </c>
      <c r="J23" s="44">
        <f t="shared" si="4"/>
        <v>9</v>
      </c>
      <c r="K23" s="44" t="str">
        <f>VLOOKUP(H23,'GRADING SYSTEM'!$D$15:$F$23,3)</f>
        <v>FAIL</v>
      </c>
    </row>
    <row r="24" spans="1:11" ht="18.75" x14ac:dyDescent="0.25">
      <c r="A24" s="47" t="str">
        <f>'Info List'!A23</f>
        <v>BHS9021</v>
      </c>
      <c r="B24" s="48" t="str">
        <f>'Info List'!B23</f>
        <v>MENSAH SHADRACK</v>
      </c>
      <c r="C24" s="49">
        <f>'Info List'!C23</f>
        <v>9</v>
      </c>
      <c r="D24" s="59"/>
      <c r="E24" s="32">
        <f t="shared" ref="E24:E25" si="5">0.5*D24</f>
        <v>0</v>
      </c>
      <c r="F24" s="60"/>
      <c r="G24" s="32">
        <f t="shared" ref="G24:G25" si="6">0.5*F24</f>
        <v>0</v>
      </c>
      <c r="H24" s="51">
        <f t="shared" ref="H24:H25" si="7">E24+G24</f>
        <v>0</v>
      </c>
      <c r="I24" s="44">
        <f t="shared" si="0"/>
        <v>2</v>
      </c>
      <c r="J24" s="44">
        <f t="shared" ref="J24:J25" si="8">IF(H24&gt;79.5, 1, IF(H24&gt;69.5, 2, IF(H24&gt;59.5, 3, IF(H24&gt;54.5, 4, IF(H24&gt;49.5, 5, IF(H24&gt;44.5, 6, IF(H24&gt;39.5, 7, IF(H24&gt;33.5, 8, IF(H24&gt;-1, 9)))))))))</f>
        <v>9</v>
      </c>
      <c r="K24" s="44" t="str">
        <f>VLOOKUP(H24,'GRADING SYSTEM'!$D$15:$F$23,3)</f>
        <v>FAIL</v>
      </c>
    </row>
    <row r="25" spans="1:11" ht="18.75" x14ac:dyDescent="0.25">
      <c r="A25" s="47" t="str">
        <f>'Info List'!A24</f>
        <v>BHS9022</v>
      </c>
      <c r="B25" s="48" t="str">
        <f>'Info List'!B24</f>
        <v>OFORI RODLYNE NANA ADOMA</v>
      </c>
      <c r="C25" s="49">
        <f>'Info List'!C24</f>
        <v>9</v>
      </c>
      <c r="D25" s="59"/>
      <c r="E25" s="32">
        <f t="shared" si="5"/>
        <v>0</v>
      </c>
      <c r="F25" s="60"/>
      <c r="G25" s="32">
        <f t="shared" si="6"/>
        <v>0</v>
      </c>
      <c r="H25" s="51">
        <f t="shared" si="7"/>
        <v>0</v>
      </c>
      <c r="I25" s="44">
        <f t="shared" si="0"/>
        <v>2</v>
      </c>
      <c r="J25" s="44">
        <f t="shared" si="8"/>
        <v>9</v>
      </c>
      <c r="K25" s="44" t="str">
        <f>VLOOKUP(H25,'GRADING SYSTEM'!$D$15:$F$23,3)</f>
        <v>FAIL</v>
      </c>
    </row>
    <row r="26" spans="1:11" ht="18.75" x14ac:dyDescent="0.25">
      <c r="A26" s="47" t="str">
        <f>'Info List'!A25</f>
        <v>BHS9023</v>
      </c>
      <c r="B26" s="48" t="str">
        <f>'Info List'!B25</f>
        <v>OPOKU JOEL ODURO SARPONG</v>
      </c>
      <c r="C26" s="49">
        <f>'Info List'!C25</f>
        <v>9</v>
      </c>
      <c r="D26" s="59"/>
      <c r="E26" s="32">
        <f t="shared" ref="E26:E29" si="9">0.5*D26</f>
        <v>0</v>
      </c>
      <c r="F26" s="60"/>
      <c r="G26" s="32">
        <f t="shared" ref="G26:G29" si="10">0.5*F26</f>
        <v>0</v>
      </c>
      <c r="H26" s="51">
        <f t="shared" ref="H26:H29" si="11">E26+G26</f>
        <v>0</v>
      </c>
      <c r="I26" s="44">
        <f t="shared" si="0"/>
        <v>2</v>
      </c>
      <c r="J26" s="44">
        <f t="shared" ref="J26:J29" si="12">IF(H26&gt;79.5, 1, IF(H26&gt;69.5, 2, IF(H26&gt;59.5, 3, IF(H26&gt;54.5, 4, IF(H26&gt;49.5, 5, IF(H26&gt;44.5, 6, IF(H26&gt;39.5, 7, IF(H26&gt;33.5, 8, IF(H26&gt;-1, 9)))))))))</f>
        <v>9</v>
      </c>
      <c r="K26" s="44" t="str">
        <f>VLOOKUP(H26,'GRADING SYSTEM'!$D$15:$F$23,3)</f>
        <v>FAIL</v>
      </c>
    </row>
    <row r="27" spans="1:11" ht="18.75" x14ac:dyDescent="0.25">
      <c r="A27" s="47" t="str">
        <f>'Info List'!A26</f>
        <v>BHS9024</v>
      </c>
      <c r="B27" s="48" t="str">
        <f>'Info List'!B26</f>
        <v>OPPONG NHYIRABA</v>
      </c>
      <c r="C27" s="49">
        <f>'Info List'!C26</f>
        <v>9</v>
      </c>
      <c r="D27" s="59"/>
      <c r="E27" s="32">
        <f t="shared" si="9"/>
        <v>0</v>
      </c>
      <c r="F27" s="60"/>
      <c r="G27" s="32">
        <f t="shared" si="10"/>
        <v>0</v>
      </c>
      <c r="H27" s="51">
        <f t="shared" si="11"/>
        <v>0</v>
      </c>
      <c r="I27" s="44">
        <f t="shared" si="0"/>
        <v>2</v>
      </c>
      <c r="J27" s="44">
        <f t="shared" si="12"/>
        <v>9</v>
      </c>
      <c r="K27" s="44" t="str">
        <f>VLOOKUP(H27,'GRADING SYSTEM'!$D$15:$F$23,3)</f>
        <v>FAIL</v>
      </c>
    </row>
    <row r="28" spans="1:11" ht="18.75" x14ac:dyDescent="0.25">
      <c r="A28" s="47" t="str">
        <f>'Info List'!A27</f>
        <v>BHS9025</v>
      </c>
      <c r="B28" s="48" t="str">
        <f>'Info List'!B27</f>
        <v>OPPONG NYAMEBA YAA</v>
      </c>
      <c r="C28" s="49">
        <f>'Info List'!C27</f>
        <v>9</v>
      </c>
      <c r="D28" s="59"/>
      <c r="E28" s="32">
        <f t="shared" si="9"/>
        <v>0</v>
      </c>
      <c r="F28" s="60"/>
      <c r="G28" s="32">
        <f t="shared" si="10"/>
        <v>0</v>
      </c>
      <c r="H28" s="51">
        <f t="shared" si="11"/>
        <v>0</v>
      </c>
      <c r="I28" s="44">
        <f t="shared" si="0"/>
        <v>2</v>
      </c>
      <c r="J28" s="44">
        <f t="shared" si="12"/>
        <v>9</v>
      </c>
      <c r="K28" s="44" t="str">
        <f>VLOOKUP(H28,'GRADING SYSTEM'!$D$15:$F$23,3)</f>
        <v>FAIL</v>
      </c>
    </row>
    <row r="29" spans="1:11" ht="18.75" x14ac:dyDescent="0.25">
      <c r="A29" s="47" t="str">
        <f>'Info List'!A28</f>
        <v>BHS9026</v>
      </c>
      <c r="B29" s="48" t="str">
        <f>'Info List'!B28</f>
        <v>QUARCOO JESSICA</v>
      </c>
      <c r="C29" s="49">
        <f>'Info List'!C28</f>
        <v>9</v>
      </c>
      <c r="D29" s="59"/>
      <c r="E29" s="32">
        <f t="shared" si="9"/>
        <v>0</v>
      </c>
      <c r="F29" s="60"/>
      <c r="G29" s="32">
        <f t="shared" si="10"/>
        <v>0</v>
      </c>
      <c r="H29" s="51">
        <f t="shared" si="11"/>
        <v>0</v>
      </c>
      <c r="I29" s="44">
        <f t="shared" si="0"/>
        <v>2</v>
      </c>
      <c r="J29" s="44">
        <f t="shared" si="12"/>
        <v>9</v>
      </c>
      <c r="K29" s="44" t="str">
        <f>VLOOKUP(H29,'GRADING SYSTEM'!$D$15:$F$23,3)</f>
        <v>FAIL</v>
      </c>
    </row>
    <row r="30" spans="1:11" ht="18.75" x14ac:dyDescent="0.25">
      <c r="A30" s="47" t="str">
        <f>'Info List'!A29</f>
        <v>BHS9027</v>
      </c>
      <c r="B30" s="48" t="str">
        <f>'Info List'!B29</f>
        <v>GAKPETOR ISAIAH</v>
      </c>
      <c r="C30" s="49">
        <f>'Info List'!C29</f>
        <v>9</v>
      </c>
      <c r="D30" s="59"/>
      <c r="E30" s="32">
        <f t="shared" ref="E30:E32" si="13">0.5*D30</f>
        <v>0</v>
      </c>
      <c r="F30" s="60"/>
      <c r="G30" s="32">
        <f t="shared" ref="G30:G32" si="14">0.5*F30</f>
        <v>0</v>
      </c>
      <c r="H30" s="51">
        <f t="shared" ref="H30:H32" si="15">E30+G30</f>
        <v>0</v>
      </c>
      <c r="I30" s="44">
        <f t="shared" si="0"/>
        <v>2</v>
      </c>
      <c r="J30" s="44">
        <f t="shared" ref="J30:J32" si="16">IF(H30&gt;79.5, 1, IF(H30&gt;69.5, 2, IF(H30&gt;59.5, 3, IF(H30&gt;54.5, 4, IF(H30&gt;49.5, 5, IF(H30&gt;44.5, 6, IF(H30&gt;39.5, 7, IF(H30&gt;33.5, 8, IF(H30&gt;-1, 9)))))))))</f>
        <v>9</v>
      </c>
      <c r="K30" s="44" t="str">
        <f>VLOOKUP(H30,'GRADING SYSTEM'!$D$15:$F$23,3)</f>
        <v>FAIL</v>
      </c>
    </row>
    <row r="31" spans="1:11" ht="18.75" x14ac:dyDescent="0.25">
      <c r="A31" s="47" t="str">
        <f>'Info List'!A30</f>
        <v>BHS9028</v>
      </c>
      <c r="B31" s="48" t="str">
        <f>'Info List'!B30</f>
        <v>SUDAIS ABDUL RAHMAN MUSA</v>
      </c>
      <c r="C31" s="49">
        <f>'Info List'!C30</f>
        <v>9</v>
      </c>
      <c r="D31" s="59"/>
      <c r="E31" s="32">
        <f t="shared" si="13"/>
        <v>0</v>
      </c>
      <c r="F31" s="60"/>
      <c r="G31" s="32">
        <f t="shared" si="14"/>
        <v>0</v>
      </c>
      <c r="H31" s="51">
        <f t="shared" si="15"/>
        <v>0</v>
      </c>
      <c r="I31" s="44">
        <f t="shared" si="0"/>
        <v>2</v>
      </c>
      <c r="J31" s="44">
        <f t="shared" si="16"/>
        <v>9</v>
      </c>
      <c r="K31" s="44" t="str">
        <f>VLOOKUP(H31,'GRADING SYSTEM'!$D$15:$F$23,3)</f>
        <v>FAIL</v>
      </c>
    </row>
    <row r="32" spans="1:11" ht="18.75" x14ac:dyDescent="0.25">
      <c r="A32" s="47" t="str">
        <f>'Info List'!A31</f>
        <v>BHS9029</v>
      </c>
      <c r="B32" s="48" t="str">
        <f>'Info List'!B31</f>
        <v>YEVAKPOR SYLVIA EYRAM</v>
      </c>
      <c r="C32" s="49">
        <f>'Info List'!C31</f>
        <v>9</v>
      </c>
      <c r="D32" s="59"/>
      <c r="E32" s="32">
        <f t="shared" si="13"/>
        <v>0</v>
      </c>
      <c r="F32" s="60"/>
      <c r="G32" s="32">
        <f t="shared" si="14"/>
        <v>0</v>
      </c>
      <c r="H32" s="51">
        <f t="shared" si="15"/>
        <v>0</v>
      </c>
      <c r="I32" s="44">
        <f t="shared" si="0"/>
        <v>2</v>
      </c>
      <c r="J32" s="44">
        <f t="shared" si="16"/>
        <v>9</v>
      </c>
      <c r="K32" s="44" t="str">
        <f>VLOOKUP(H32,'GRADING SYSTEM'!$D$15:$F$23,3)</f>
        <v>FAIL</v>
      </c>
    </row>
  </sheetData>
  <mergeCells count="7">
    <mergeCell ref="A1:K1"/>
    <mergeCell ref="B2:B3"/>
    <mergeCell ref="C2:C3"/>
    <mergeCell ref="I2:I3"/>
    <mergeCell ref="J2:J3"/>
    <mergeCell ref="K2:K3"/>
    <mergeCell ref="A2:A3"/>
  </mergeCells>
  <dataValidations count="1">
    <dataValidation type="whole" allowBlank="1" showInputMessage="1" showErrorMessage="1" errorTitle="WRONG ENTRY" error="Enter marks from 0 to 100" sqref="G4:G32" xr:uid="{00000000-0002-0000-0900-000000000000}">
      <formula1>0</formula1>
      <formula2>100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50"/>
  </sheetPr>
  <dimension ref="A1:P23"/>
  <sheetViews>
    <sheetView zoomScale="85" zoomScaleNormal="85" workbookViewId="0">
      <selection activeCell="K18" sqref="K18"/>
    </sheetView>
  </sheetViews>
  <sheetFormatPr defaultRowHeight="15" x14ac:dyDescent="0.25"/>
  <cols>
    <col min="1" max="1" width="11.42578125" customWidth="1"/>
    <col min="2" max="2" width="20.7109375" customWidth="1"/>
    <col min="3" max="3" width="11.42578125" customWidth="1"/>
    <col min="6" max="6" width="25.5703125" customWidth="1"/>
    <col min="7" max="7" width="9" customWidth="1"/>
    <col min="8" max="8" width="4.42578125" hidden="1" customWidth="1"/>
    <col min="9" max="9" width="9.42578125" hidden="1" customWidth="1"/>
    <col min="16" max="16" width="17.85546875" customWidth="1"/>
  </cols>
  <sheetData>
    <row r="1" spans="1:16" ht="18.75" x14ac:dyDescent="0.3">
      <c r="A1" s="6" t="s">
        <v>19</v>
      </c>
      <c r="B1" s="103" t="s">
        <v>20</v>
      </c>
      <c r="C1" s="103"/>
      <c r="D1" s="103"/>
      <c r="E1" s="103"/>
      <c r="F1" s="103"/>
      <c r="G1" s="103"/>
      <c r="H1" s="103"/>
      <c r="I1" s="103"/>
      <c r="J1" s="103" t="s">
        <v>21</v>
      </c>
      <c r="K1" s="103"/>
      <c r="L1" s="103"/>
      <c r="M1" s="103"/>
      <c r="N1" s="103"/>
      <c r="O1" s="103"/>
      <c r="P1" s="103"/>
    </row>
    <row r="2" spans="1:16" x14ac:dyDescent="0.25">
      <c r="A2" s="3">
        <v>0</v>
      </c>
      <c r="B2" s="98" t="s">
        <v>22</v>
      </c>
      <c r="C2" s="98"/>
      <c r="D2" s="98"/>
      <c r="E2" s="98"/>
      <c r="F2" s="98"/>
      <c r="G2" s="98"/>
      <c r="H2" s="98"/>
      <c r="I2" s="98"/>
      <c r="J2" s="98" t="s">
        <v>28</v>
      </c>
      <c r="K2" s="98"/>
      <c r="L2" s="98"/>
      <c r="M2" s="98"/>
      <c r="N2" s="98"/>
      <c r="O2" s="98"/>
      <c r="P2" s="98"/>
    </row>
    <row r="3" spans="1:16" x14ac:dyDescent="0.25">
      <c r="A3" s="3">
        <v>400</v>
      </c>
      <c r="B3" s="98" t="s">
        <v>22</v>
      </c>
      <c r="C3" s="98"/>
      <c r="D3" s="98"/>
      <c r="E3" s="98"/>
      <c r="F3" s="98"/>
      <c r="G3" s="98"/>
      <c r="H3" s="98"/>
      <c r="I3" s="98"/>
      <c r="J3" s="98" t="s">
        <v>28</v>
      </c>
      <c r="K3" s="98"/>
      <c r="L3" s="98"/>
      <c r="M3" s="98"/>
      <c r="N3" s="98"/>
      <c r="O3" s="98"/>
      <c r="P3" s="98"/>
    </row>
    <row r="4" spans="1:16" x14ac:dyDescent="0.25">
      <c r="A4" s="3">
        <v>450</v>
      </c>
      <c r="B4" s="98" t="s">
        <v>23</v>
      </c>
      <c r="C4" s="98"/>
      <c r="D4" s="98"/>
      <c r="E4" s="98"/>
      <c r="F4" s="98"/>
      <c r="G4" s="98"/>
      <c r="H4" s="98"/>
      <c r="I4" s="98"/>
      <c r="J4" s="98" t="s">
        <v>29</v>
      </c>
      <c r="K4" s="98"/>
      <c r="L4" s="98"/>
      <c r="M4" s="98"/>
      <c r="N4" s="98"/>
      <c r="O4" s="98"/>
      <c r="P4" s="98"/>
    </row>
    <row r="5" spans="1:16" x14ac:dyDescent="0.25">
      <c r="A5" s="3">
        <v>500</v>
      </c>
      <c r="B5" s="98" t="s">
        <v>24</v>
      </c>
      <c r="C5" s="98"/>
      <c r="D5" s="98"/>
      <c r="E5" s="98"/>
      <c r="F5" s="98"/>
      <c r="G5" s="98"/>
      <c r="H5" s="98"/>
      <c r="I5" s="98"/>
      <c r="J5" s="98" t="s">
        <v>30</v>
      </c>
      <c r="K5" s="98"/>
      <c r="L5" s="98"/>
      <c r="M5" s="98"/>
      <c r="N5" s="98"/>
      <c r="O5" s="98"/>
      <c r="P5" s="98"/>
    </row>
    <row r="6" spans="1:16" x14ac:dyDescent="0.25">
      <c r="A6" s="3">
        <v>600</v>
      </c>
      <c r="B6" s="98" t="s">
        <v>117</v>
      </c>
      <c r="C6" s="98"/>
      <c r="D6" s="98"/>
      <c r="E6" s="98"/>
      <c r="F6" s="98"/>
      <c r="G6" s="98"/>
      <c r="H6" s="98"/>
      <c r="I6" s="98"/>
      <c r="J6" s="98" t="s">
        <v>31</v>
      </c>
      <c r="K6" s="98"/>
      <c r="L6" s="98"/>
      <c r="M6" s="98"/>
      <c r="N6" s="98"/>
      <c r="O6" s="98"/>
      <c r="P6" s="98"/>
    </row>
    <row r="7" spans="1:16" x14ac:dyDescent="0.25">
      <c r="A7" s="3">
        <v>650</v>
      </c>
      <c r="B7" s="98" t="s">
        <v>118</v>
      </c>
      <c r="C7" s="98"/>
      <c r="D7" s="98"/>
      <c r="E7" s="98"/>
      <c r="F7" s="98"/>
      <c r="G7" s="98"/>
      <c r="H7" s="98"/>
      <c r="I7" s="98"/>
      <c r="J7" s="98" t="s">
        <v>32</v>
      </c>
      <c r="K7" s="98"/>
      <c r="L7" s="98"/>
      <c r="M7" s="98"/>
      <c r="N7" s="98"/>
      <c r="O7" s="98"/>
      <c r="P7" s="98"/>
    </row>
    <row r="8" spans="1:16" x14ac:dyDescent="0.25">
      <c r="A8" s="3">
        <v>700</v>
      </c>
      <c r="B8" s="98" t="s">
        <v>25</v>
      </c>
      <c r="C8" s="98"/>
      <c r="D8" s="98"/>
      <c r="E8" s="98"/>
      <c r="F8" s="98"/>
      <c r="G8" s="98"/>
      <c r="H8" s="98"/>
      <c r="I8" s="98"/>
      <c r="J8" s="98" t="s">
        <v>33</v>
      </c>
      <c r="K8" s="98"/>
      <c r="L8" s="98"/>
      <c r="M8" s="98"/>
      <c r="N8" s="98"/>
      <c r="O8" s="98"/>
      <c r="P8" s="98"/>
    </row>
    <row r="9" spans="1:16" x14ac:dyDescent="0.25">
      <c r="A9" s="3">
        <v>750</v>
      </c>
      <c r="B9" s="98" t="s">
        <v>26</v>
      </c>
      <c r="C9" s="98"/>
      <c r="D9" s="98"/>
      <c r="E9" s="98"/>
      <c r="F9" s="98"/>
      <c r="G9" s="98"/>
      <c r="H9" s="98"/>
      <c r="I9" s="98"/>
      <c r="J9" s="98" t="s">
        <v>34</v>
      </c>
      <c r="K9" s="98"/>
      <c r="L9" s="98"/>
      <c r="M9" s="98"/>
      <c r="N9" s="98"/>
      <c r="O9" s="98"/>
      <c r="P9" s="98"/>
    </row>
    <row r="10" spans="1:16" x14ac:dyDescent="0.25">
      <c r="A10" s="3">
        <v>800</v>
      </c>
      <c r="B10" s="98" t="s">
        <v>27</v>
      </c>
      <c r="C10" s="98"/>
      <c r="D10" s="98"/>
      <c r="E10" s="98"/>
      <c r="F10" s="98"/>
      <c r="G10" s="98"/>
      <c r="H10" s="98"/>
      <c r="I10" s="98"/>
      <c r="J10" s="98" t="s">
        <v>35</v>
      </c>
      <c r="K10" s="98"/>
      <c r="L10" s="98"/>
      <c r="M10" s="98"/>
      <c r="N10" s="98"/>
      <c r="O10" s="98"/>
      <c r="P10" s="98"/>
    </row>
    <row r="13" spans="1:16" x14ac:dyDescent="0.25">
      <c r="A13" s="99"/>
      <c r="B13" s="99"/>
      <c r="C13" s="43"/>
      <c r="D13" s="100" t="s">
        <v>36</v>
      </c>
      <c r="E13" s="101"/>
      <c r="F13" s="102"/>
    </row>
    <row r="14" spans="1:16" x14ac:dyDescent="0.25">
      <c r="A14" s="71"/>
      <c r="B14" s="71"/>
      <c r="D14" s="7" t="s">
        <v>19</v>
      </c>
      <c r="E14" s="7" t="s">
        <v>16</v>
      </c>
      <c r="F14" s="7" t="s">
        <v>17</v>
      </c>
    </row>
    <row r="15" spans="1:16" x14ac:dyDescent="0.25">
      <c r="A15" s="71"/>
      <c r="B15" s="71"/>
      <c r="D15" s="10">
        <v>0</v>
      </c>
      <c r="E15" s="10">
        <v>9</v>
      </c>
      <c r="F15" s="10" t="s">
        <v>147</v>
      </c>
    </row>
    <row r="16" spans="1:16" x14ac:dyDescent="0.25">
      <c r="A16" s="71"/>
      <c r="B16" s="71"/>
      <c r="D16" s="1">
        <v>35</v>
      </c>
      <c r="E16" s="1">
        <v>8</v>
      </c>
      <c r="F16" s="1" t="s">
        <v>146</v>
      </c>
    </row>
    <row r="17" spans="1:6" x14ac:dyDescent="0.25">
      <c r="A17" s="71"/>
      <c r="B17" s="71"/>
      <c r="D17" s="1">
        <v>40</v>
      </c>
      <c r="E17" s="1">
        <v>7</v>
      </c>
      <c r="F17" s="1" t="s">
        <v>145</v>
      </c>
    </row>
    <row r="18" spans="1:6" x14ac:dyDescent="0.25">
      <c r="A18" s="71"/>
      <c r="B18" s="71"/>
      <c r="D18" s="1">
        <v>45</v>
      </c>
      <c r="E18" s="1">
        <v>6</v>
      </c>
      <c r="F18" s="1" t="s">
        <v>144</v>
      </c>
    </row>
    <row r="19" spans="1:6" x14ac:dyDescent="0.25">
      <c r="A19" s="71"/>
      <c r="B19" s="71"/>
      <c r="D19" s="1">
        <v>50</v>
      </c>
      <c r="E19" s="1">
        <v>5</v>
      </c>
      <c r="F19" s="1" t="s">
        <v>143</v>
      </c>
    </row>
    <row r="20" spans="1:6" x14ac:dyDescent="0.25">
      <c r="A20" s="71"/>
      <c r="B20" s="71"/>
      <c r="D20" s="1">
        <v>55</v>
      </c>
      <c r="E20" s="1">
        <v>4</v>
      </c>
      <c r="F20" s="1" t="s">
        <v>142</v>
      </c>
    </row>
    <row r="21" spans="1:6" x14ac:dyDescent="0.25">
      <c r="D21" s="1">
        <v>60</v>
      </c>
      <c r="E21" s="1">
        <v>3</v>
      </c>
      <c r="F21" s="1" t="s">
        <v>141</v>
      </c>
    </row>
    <row r="22" spans="1:6" x14ac:dyDescent="0.25">
      <c r="D22" s="1">
        <v>70</v>
      </c>
      <c r="E22" s="1">
        <v>2</v>
      </c>
      <c r="F22" s="1" t="s">
        <v>140</v>
      </c>
    </row>
    <row r="23" spans="1:6" x14ac:dyDescent="0.25">
      <c r="D23" s="1">
        <v>80</v>
      </c>
      <c r="E23" s="1">
        <v>1</v>
      </c>
      <c r="F23" s="1" t="s">
        <v>139</v>
      </c>
    </row>
  </sheetData>
  <sortState xmlns:xlrd2="http://schemas.microsoft.com/office/spreadsheetml/2017/richdata2" ref="E15:E23">
    <sortCondition descending="1" ref="E15"/>
  </sortState>
  <mergeCells count="22">
    <mergeCell ref="J6:P6"/>
    <mergeCell ref="B1:I1"/>
    <mergeCell ref="B2:I2"/>
    <mergeCell ref="B3:I3"/>
    <mergeCell ref="B4:I4"/>
    <mergeCell ref="B5:I5"/>
    <mergeCell ref="B6:I6"/>
    <mergeCell ref="J1:P1"/>
    <mergeCell ref="J2:P2"/>
    <mergeCell ref="J3:P3"/>
    <mergeCell ref="J4:P4"/>
    <mergeCell ref="J5:P5"/>
    <mergeCell ref="J7:P7"/>
    <mergeCell ref="J8:P8"/>
    <mergeCell ref="J9:P9"/>
    <mergeCell ref="J10:P10"/>
    <mergeCell ref="A13:B13"/>
    <mergeCell ref="D13:F13"/>
    <mergeCell ref="B7:I7"/>
    <mergeCell ref="B8:I8"/>
    <mergeCell ref="B9:I9"/>
    <mergeCell ref="B10:I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tabColor rgb="FFFF66CC"/>
  </sheetPr>
  <dimension ref="A1:DK30"/>
  <sheetViews>
    <sheetView topLeftCell="BK1" zoomScale="110" zoomScaleNormal="110" workbookViewId="0">
      <selection activeCell="BQ3" sqref="BQ3"/>
    </sheetView>
  </sheetViews>
  <sheetFormatPr defaultRowHeight="15" x14ac:dyDescent="0.25"/>
  <cols>
    <col min="1" max="1" width="13.85546875" customWidth="1"/>
    <col min="2" max="2" width="44.7109375" customWidth="1"/>
    <col min="4" max="4" width="15.42578125" customWidth="1"/>
    <col min="7" max="7" width="10.5703125" customWidth="1"/>
    <col min="8" max="8" width="13.28515625" customWidth="1"/>
    <col min="9" max="9" width="10.140625" customWidth="1"/>
    <col min="10" max="10" width="12.140625" customWidth="1"/>
    <col min="13" max="13" width="13.140625" customWidth="1"/>
    <col min="17" max="17" width="11.140625" customWidth="1"/>
    <col min="18" max="18" width="7.85546875" customWidth="1"/>
    <col min="19" max="19" width="14.140625" customWidth="1"/>
    <col min="20" max="20" width="15.140625" customWidth="1"/>
    <col min="21" max="21" width="14.85546875" customWidth="1"/>
    <col min="23" max="23" width="10.85546875" customWidth="1"/>
    <col min="25" max="25" width="10.7109375" customWidth="1"/>
    <col min="29" max="29" width="11.5703125" customWidth="1"/>
    <col min="31" max="31" width="10.7109375" customWidth="1"/>
    <col min="35" max="35" width="11" customWidth="1"/>
    <col min="37" max="37" width="13" customWidth="1"/>
    <col min="38" max="38" width="15.42578125" customWidth="1"/>
    <col min="39" max="39" width="13.85546875" customWidth="1"/>
    <col min="41" max="41" width="10.5703125" customWidth="1"/>
    <col min="43" max="43" width="10.5703125" customWidth="1"/>
    <col min="44" max="44" width="13.140625" customWidth="1"/>
    <col min="45" max="45" width="12.7109375" customWidth="1"/>
    <col min="47" max="47" width="11.140625" customWidth="1"/>
    <col min="48" max="48" width="11" customWidth="1"/>
    <col min="49" max="49" width="15.28515625" customWidth="1"/>
    <col min="50" max="50" width="9.42578125" customWidth="1"/>
    <col min="51" max="51" width="10" customWidth="1"/>
    <col min="52" max="52" width="8.85546875" customWidth="1"/>
    <col min="53" max="53" width="11.7109375" customWidth="1"/>
    <col min="54" max="54" width="9.42578125" customWidth="1"/>
    <col min="55" max="55" width="11.28515625" customWidth="1"/>
    <col min="56" max="56" width="13" customWidth="1"/>
    <col min="57" max="57" width="14.42578125" customWidth="1"/>
    <col min="58" max="58" width="10.28515625" customWidth="1"/>
    <col min="59" max="59" width="10.42578125" customWidth="1"/>
    <col min="61" max="61" width="15.28515625" customWidth="1"/>
    <col min="62" max="62" width="11.7109375" customWidth="1"/>
    <col min="63" max="63" width="11.28515625" customWidth="1"/>
    <col min="64" max="64" width="11.5703125" style="36" customWidth="1"/>
    <col min="65" max="65" width="15.85546875" style="36" customWidth="1"/>
    <col min="66" max="66" width="11.85546875" style="36" customWidth="1"/>
    <col min="67" max="67" width="16.28515625" style="36" customWidth="1"/>
    <col min="68" max="68" width="9.140625" style="36"/>
    <col min="69" max="69" width="11.85546875" style="36" customWidth="1"/>
    <col min="70" max="70" width="56.42578125" style="36" customWidth="1"/>
    <col min="71" max="71" width="69.7109375" style="36" customWidth="1"/>
    <col min="72" max="72" width="69.7109375" customWidth="1"/>
    <col min="73" max="73" width="33.7109375" customWidth="1"/>
    <col min="74" max="74" width="33.28515625" customWidth="1"/>
    <col min="75" max="76" width="11.5703125" customWidth="1"/>
    <col min="84" max="84" width="19.140625" customWidth="1"/>
    <col min="86" max="86" width="46.42578125" customWidth="1"/>
    <col min="87" max="87" width="33.85546875" customWidth="1"/>
    <col min="88" max="88" width="31.140625" customWidth="1"/>
    <col min="89" max="89" width="5" customWidth="1"/>
    <col min="90" max="90" width="6.42578125" customWidth="1"/>
    <col min="91" max="91" width="6.28515625" customWidth="1"/>
    <col min="92" max="92" width="5.140625" customWidth="1"/>
    <col min="93" max="93" width="5.7109375" customWidth="1"/>
    <col min="94" max="94" width="6" customWidth="1"/>
    <col min="95" max="95" width="4.7109375" customWidth="1"/>
    <col min="96" max="96" width="4.5703125" customWidth="1"/>
    <col min="97" max="97" width="7.7109375" customWidth="1"/>
    <col min="98" max="98" width="10.140625" customWidth="1"/>
    <col min="99" max="99" width="8.28515625" customWidth="1"/>
    <col min="100" max="101" width="9.28515625" customWidth="1"/>
    <col min="102" max="102" width="10" customWidth="1"/>
    <col min="103" max="103" width="8.5703125" customWidth="1"/>
    <col min="104" max="104" width="8.7109375" customWidth="1"/>
    <col min="105" max="105" width="8" customWidth="1"/>
    <col min="106" max="106" width="9.140625" customWidth="1"/>
    <col min="107" max="107" width="9.5703125" customWidth="1"/>
    <col min="108" max="108" width="4.7109375" customWidth="1"/>
    <col min="109" max="109" width="4.5703125" customWidth="1"/>
    <col min="110" max="110" width="7.85546875" customWidth="1"/>
    <col min="111" max="111" width="6.42578125" customWidth="1"/>
    <col min="112" max="112" width="6.5703125" customWidth="1"/>
  </cols>
  <sheetData>
    <row r="1" spans="1:115" ht="42.75" customHeight="1" thickBot="1" x14ac:dyDescent="0.3">
      <c r="A1" s="16" t="s">
        <v>1</v>
      </c>
      <c r="B1" s="17" t="s">
        <v>2</v>
      </c>
      <c r="C1" s="18" t="s">
        <v>3</v>
      </c>
      <c r="D1" s="18" t="s">
        <v>5</v>
      </c>
      <c r="E1" s="18" t="s">
        <v>6</v>
      </c>
      <c r="F1" s="2" t="s">
        <v>115</v>
      </c>
      <c r="G1" s="2" t="s">
        <v>114</v>
      </c>
      <c r="H1" s="2" t="s">
        <v>201</v>
      </c>
      <c r="I1" s="2" t="s">
        <v>202</v>
      </c>
      <c r="J1" s="2" t="s">
        <v>203</v>
      </c>
      <c r="K1" s="2" t="s">
        <v>116</v>
      </c>
      <c r="L1" s="18" t="s">
        <v>8</v>
      </c>
      <c r="M1" s="18" t="s">
        <v>7</v>
      </c>
      <c r="N1" s="19" t="s">
        <v>72</v>
      </c>
      <c r="O1" s="19" t="s">
        <v>73</v>
      </c>
      <c r="P1" s="19" t="s">
        <v>55</v>
      </c>
      <c r="Q1" s="19" t="s">
        <v>15</v>
      </c>
      <c r="R1" s="19" t="s">
        <v>16</v>
      </c>
      <c r="S1" s="19" t="s">
        <v>17</v>
      </c>
      <c r="T1" s="19" t="s">
        <v>74</v>
      </c>
      <c r="U1" s="19" t="s">
        <v>75</v>
      </c>
      <c r="V1" s="19" t="s">
        <v>55</v>
      </c>
      <c r="W1" s="19" t="s">
        <v>15</v>
      </c>
      <c r="X1" s="19" t="s">
        <v>16</v>
      </c>
      <c r="Y1" s="19" t="s">
        <v>17</v>
      </c>
      <c r="Z1" s="19" t="s">
        <v>76</v>
      </c>
      <c r="AA1" s="19" t="s">
        <v>77</v>
      </c>
      <c r="AB1" s="19" t="s">
        <v>55</v>
      </c>
      <c r="AC1" s="19" t="s">
        <v>15</v>
      </c>
      <c r="AD1" s="19" t="s">
        <v>16</v>
      </c>
      <c r="AE1" s="19" t="s">
        <v>17</v>
      </c>
      <c r="AF1" s="19" t="s">
        <v>78</v>
      </c>
      <c r="AG1" s="19" t="s">
        <v>79</v>
      </c>
      <c r="AH1" s="19" t="s">
        <v>55</v>
      </c>
      <c r="AI1" s="19" t="s">
        <v>15</v>
      </c>
      <c r="AJ1" s="19" t="s">
        <v>16</v>
      </c>
      <c r="AK1" s="19" t="s">
        <v>17</v>
      </c>
      <c r="AL1" s="19" t="s">
        <v>80</v>
      </c>
      <c r="AM1" s="19" t="s">
        <v>81</v>
      </c>
      <c r="AN1" s="19" t="s">
        <v>55</v>
      </c>
      <c r="AO1" s="19" t="s">
        <v>15</v>
      </c>
      <c r="AP1" s="19" t="s">
        <v>16</v>
      </c>
      <c r="AQ1" s="19" t="s">
        <v>17</v>
      </c>
      <c r="AR1" s="19" t="s">
        <v>82</v>
      </c>
      <c r="AS1" s="19" t="s">
        <v>83</v>
      </c>
      <c r="AT1" s="19" t="s">
        <v>55</v>
      </c>
      <c r="AU1" s="19" t="s">
        <v>15</v>
      </c>
      <c r="AV1" s="19" t="s">
        <v>16</v>
      </c>
      <c r="AW1" s="19" t="s">
        <v>17</v>
      </c>
      <c r="AX1" s="19" t="s">
        <v>120</v>
      </c>
      <c r="AY1" s="19" t="s">
        <v>121</v>
      </c>
      <c r="AZ1" s="19" t="s">
        <v>55</v>
      </c>
      <c r="BA1" s="19" t="s">
        <v>122</v>
      </c>
      <c r="BB1" s="19" t="s">
        <v>16</v>
      </c>
      <c r="BC1" s="19" t="s">
        <v>17</v>
      </c>
      <c r="BD1" s="19" t="s">
        <v>84</v>
      </c>
      <c r="BE1" s="19" t="s">
        <v>85</v>
      </c>
      <c r="BF1" s="19" t="s">
        <v>55</v>
      </c>
      <c r="BG1" s="19" t="s">
        <v>15</v>
      </c>
      <c r="BH1" s="19" t="s">
        <v>16</v>
      </c>
      <c r="BI1" s="19" t="s">
        <v>17</v>
      </c>
      <c r="BJ1" s="19" t="s">
        <v>86</v>
      </c>
      <c r="BK1" s="19" t="s">
        <v>87</v>
      </c>
      <c r="BL1" s="19" t="s">
        <v>55</v>
      </c>
      <c r="BM1" s="19" t="s">
        <v>15</v>
      </c>
      <c r="BN1" s="19" t="s">
        <v>16</v>
      </c>
      <c r="BO1" s="19" t="s">
        <v>17</v>
      </c>
      <c r="BP1" s="37" t="s">
        <v>42</v>
      </c>
      <c r="BQ1" s="2" t="s">
        <v>43</v>
      </c>
      <c r="BR1" s="2" t="s">
        <v>44</v>
      </c>
      <c r="BS1" s="2" t="s">
        <v>21</v>
      </c>
      <c r="BT1" s="2"/>
      <c r="BU1" s="2" t="s">
        <v>56</v>
      </c>
      <c r="BV1" s="2" t="s">
        <v>45</v>
      </c>
      <c r="BW1" s="38" t="s">
        <v>46</v>
      </c>
      <c r="BX1" s="38" t="s">
        <v>47</v>
      </c>
      <c r="BY1" s="38" t="s">
        <v>48</v>
      </c>
      <c r="BZ1" s="38" t="s">
        <v>49</v>
      </c>
      <c r="CA1" s="38" t="s">
        <v>50</v>
      </c>
      <c r="CB1" s="38" t="s">
        <v>51</v>
      </c>
      <c r="CC1" s="38" t="s">
        <v>124</v>
      </c>
      <c r="CD1" s="38" t="s">
        <v>52</v>
      </c>
      <c r="CE1" s="38" t="s">
        <v>53</v>
      </c>
      <c r="CF1" s="39" t="s">
        <v>54</v>
      </c>
      <c r="CG1" s="38" t="s">
        <v>62</v>
      </c>
      <c r="CH1" s="80" t="s">
        <v>148</v>
      </c>
      <c r="CI1" s="80" t="s">
        <v>45</v>
      </c>
      <c r="CJ1" s="1"/>
      <c r="CK1" s="20" t="s">
        <v>89</v>
      </c>
      <c r="CL1" s="20" t="s">
        <v>90</v>
      </c>
      <c r="CM1" s="21" t="s">
        <v>91</v>
      </c>
      <c r="CN1" s="20" t="s">
        <v>92</v>
      </c>
      <c r="CO1" s="22" t="s">
        <v>93</v>
      </c>
      <c r="CP1" s="22" t="s">
        <v>94</v>
      </c>
      <c r="CQ1" s="23" t="s">
        <v>95</v>
      </c>
      <c r="CR1" s="22" t="s">
        <v>96</v>
      </c>
      <c r="CS1" s="24" t="s">
        <v>97</v>
      </c>
      <c r="CT1" s="24" t="s">
        <v>98</v>
      </c>
      <c r="CU1" s="25" t="s">
        <v>99</v>
      </c>
      <c r="CV1" s="24" t="s">
        <v>100</v>
      </c>
      <c r="CW1" s="26" t="s">
        <v>101</v>
      </c>
      <c r="CX1" s="26" t="s">
        <v>102</v>
      </c>
      <c r="CY1" s="27" t="s">
        <v>103</v>
      </c>
      <c r="CZ1" s="26" t="s">
        <v>104</v>
      </c>
      <c r="DA1" s="28" t="s">
        <v>105</v>
      </c>
      <c r="DB1" s="28" t="s">
        <v>106</v>
      </c>
      <c r="DC1" s="29" t="s">
        <v>107</v>
      </c>
      <c r="DD1" s="28" t="s">
        <v>108</v>
      </c>
      <c r="DE1" s="30" t="s">
        <v>109</v>
      </c>
      <c r="DF1" s="30" t="s">
        <v>110</v>
      </c>
      <c r="DG1" s="31" t="s">
        <v>111</v>
      </c>
      <c r="DH1" s="30" t="s">
        <v>112</v>
      </c>
      <c r="DK1" s="15"/>
    </row>
    <row r="2" spans="1:115" ht="24" customHeight="1" thickBot="1" x14ac:dyDescent="0.3">
      <c r="A2" s="63" t="str">
        <f>'Info List'!A3</f>
        <v>BHS9001</v>
      </c>
      <c r="B2" s="64" t="str">
        <f>'Info List'!B3</f>
        <v>ABRAKWAH EVA OWUSUAA</v>
      </c>
      <c r="C2" s="35">
        <f>'Info List'!C3</f>
        <v>9</v>
      </c>
      <c r="D2" s="41">
        <f>'Info List'!$D$3</f>
        <v>29</v>
      </c>
      <c r="E2" s="32" t="s">
        <v>135</v>
      </c>
      <c r="F2" s="65">
        <v>0</v>
      </c>
      <c r="G2" s="65">
        <v>0</v>
      </c>
      <c r="H2" s="65">
        <v>0</v>
      </c>
      <c r="I2" s="65">
        <v>0</v>
      </c>
      <c r="J2" s="65">
        <v>0</v>
      </c>
      <c r="K2" s="65">
        <f>SUM(F2:J2)</f>
        <v>0</v>
      </c>
      <c r="L2" s="32">
        <f>'Info List'!F3</f>
        <v>0</v>
      </c>
      <c r="M2" s="34">
        <f>'Info List'!$G$3</f>
        <v>0</v>
      </c>
      <c r="N2" s="32">
        <f>ENGLISH!E4</f>
        <v>44.5</v>
      </c>
      <c r="O2" s="32">
        <f>ENGLISH!G4</f>
        <v>48</v>
      </c>
      <c r="P2" s="32">
        <f>ENGLISH!H4</f>
        <v>92.5</v>
      </c>
      <c r="Q2" s="32">
        <f>ENGLISH!I4</f>
        <v>1</v>
      </c>
      <c r="R2" s="32">
        <f>ENGLISH!J4</f>
        <v>1</v>
      </c>
      <c r="S2" s="32" t="str">
        <f>ENGLISH!K4</f>
        <v>EXCELLENT</v>
      </c>
      <c r="T2" s="32">
        <f>MATHS!E4</f>
        <v>39</v>
      </c>
      <c r="U2" s="32">
        <f>MATHS!G4</f>
        <v>42.5</v>
      </c>
      <c r="V2" s="32">
        <f>MATHS!H4</f>
        <v>81.5</v>
      </c>
      <c r="W2" s="32">
        <f>MATHS!I4</f>
        <v>1</v>
      </c>
      <c r="X2" s="32">
        <f>MATHS!J4</f>
        <v>1</v>
      </c>
      <c r="Y2" s="32" t="str">
        <f>MATHS!K4</f>
        <v>EXCELLENT</v>
      </c>
      <c r="Z2" s="32">
        <f>SCIENCE!E4</f>
        <v>40</v>
      </c>
      <c r="AA2" s="32">
        <f>SCIENCE!G4</f>
        <v>45</v>
      </c>
      <c r="AB2" s="32">
        <f>SCIENCE!H4</f>
        <v>85</v>
      </c>
      <c r="AC2" s="32">
        <f>SCIENCE!I4</f>
        <v>1</v>
      </c>
      <c r="AD2" s="32">
        <f>SCIENCE!J4</f>
        <v>1</v>
      </c>
      <c r="AE2" s="32" t="str">
        <f>SCIENCE!K4</f>
        <v>EXCELLENT</v>
      </c>
      <c r="AF2" s="32">
        <f>SOCIAL!E4</f>
        <v>43</v>
      </c>
      <c r="AG2" s="32">
        <f>SOCIAL!G4</f>
        <v>40.5</v>
      </c>
      <c r="AH2" s="32">
        <f>SOCIAL!H4</f>
        <v>83.5</v>
      </c>
      <c r="AI2" s="32">
        <f>SOCIAL!I4</f>
        <v>1</v>
      </c>
      <c r="AJ2" s="32">
        <f>SOCIAL!J4</f>
        <v>1</v>
      </c>
      <c r="AK2" s="32" t="str">
        <f>SOCIAL!K4</f>
        <v>EXCELLENT</v>
      </c>
      <c r="AL2" s="32">
        <f>'R.M.E'!E4</f>
        <v>45.5</v>
      </c>
      <c r="AM2" s="32">
        <f>'R.M.E'!G4</f>
        <v>35</v>
      </c>
      <c r="AN2" s="32">
        <f>'R.M.E'!H4</f>
        <v>80.5</v>
      </c>
      <c r="AO2" s="32">
        <f>'R.M.E'!I4</f>
        <v>1</v>
      </c>
      <c r="AP2" s="32">
        <f>'R.M.E'!J4</f>
        <v>1</v>
      </c>
      <c r="AQ2" s="32" t="str">
        <f>'R.M.E'!K4</f>
        <v>EXCELLENT</v>
      </c>
      <c r="AR2" s="32">
        <f>COMPUTING!E4</f>
        <v>49</v>
      </c>
      <c r="AS2" s="32">
        <f>COMPUTING!G4</f>
        <v>47</v>
      </c>
      <c r="AT2" s="32">
        <f>COMPUTING!H4</f>
        <v>96</v>
      </c>
      <c r="AU2" s="32">
        <f>COMPUTING!I4</f>
        <v>1</v>
      </c>
      <c r="AV2" s="32">
        <f>COMPUTING!J4</f>
        <v>1</v>
      </c>
      <c r="AW2" s="32" t="str">
        <f>COMPUTING!K4</f>
        <v>EXCELLENT</v>
      </c>
      <c r="AX2" s="32">
        <f>CAD!E4</f>
        <v>38</v>
      </c>
      <c r="AY2" s="32">
        <f>CAD!G4</f>
        <v>41</v>
      </c>
      <c r="AZ2" s="32">
        <f>CAD!H4</f>
        <v>79</v>
      </c>
      <c r="BA2" s="32">
        <f>CAD!I4</f>
        <v>1</v>
      </c>
      <c r="BB2" s="32">
        <f>CAD!J4</f>
        <v>2</v>
      </c>
      <c r="BC2" s="32" t="str">
        <f>CAD!K4</f>
        <v>VERY GOOD</v>
      </c>
      <c r="BD2" s="32">
        <f>CAREER!E4</f>
        <v>44</v>
      </c>
      <c r="BE2" s="32">
        <f>CAREER!G4</f>
        <v>43</v>
      </c>
      <c r="BF2" s="32">
        <f>CAREER!H4</f>
        <v>87</v>
      </c>
      <c r="BG2" s="32">
        <f>CAREER!I4</f>
        <v>1</v>
      </c>
      <c r="BH2" s="32">
        <f>CAREER!J4</f>
        <v>1</v>
      </c>
      <c r="BI2" s="32" t="str">
        <f>CAREER!K4</f>
        <v>EXCELLENT</v>
      </c>
      <c r="BJ2" s="32">
        <f>FANTE!E4</f>
        <v>41.5</v>
      </c>
      <c r="BK2" s="32">
        <f>FANTE!G4</f>
        <v>40</v>
      </c>
      <c r="BL2" s="32">
        <f>FANTE!H4</f>
        <v>81.5</v>
      </c>
      <c r="BM2" s="32">
        <f>FANTE!I4</f>
        <v>1</v>
      </c>
      <c r="BN2" s="32">
        <f>FANTE!J4</f>
        <v>1</v>
      </c>
      <c r="BO2" s="32" t="str">
        <f>FANTE!K4</f>
        <v>EXCELLENT</v>
      </c>
      <c r="BP2" s="66">
        <f>P2+V2+AB2+AH2+AN2+AT2+AZ2+BF2+BL2</f>
        <v>766.5</v>
      </c>
      <c r="BQ2" s="83" t="str">
        <f>_xlfn.RANK.EQ(BP2,$BP$2:$BP$30) &amp; IF(AND(MOD(_xlfn.RANK.EQ(BP2,$BP$2:$BP$30),100)&gt;=11, MOD(_xlfn.RANK.EQ(BP2,$BP$2:$BP$30),100)&lt;=13), "th", CHOOSE(MOD(_xlfn.RANK.EQ(BP2,$BP$2:$BP$30),10)+1, "th","st","nd","rd","th","th","th","th","th","th"))</f>
        <v>1st</v>
      </c>
      <c r="BR2" s="32" t="str">
        <f>VLOOKUP(BP2,'GRADING SYSTEM'!$A$1:$P$10,2)</f>
        <v>Excellent, keep it up. Do not rest on your oars.</v>
      </c>
      <c r="BS2" s="32" t="str">
        <f>VLOOKUP(BP2,'GRADING SYSTEM'!$A$1:$P$10,10)</f>
        <v>Excellent, keep it up.</v>
      </c>
      <c r="BT2" s="32" t="str">
        <f t="shared" ref="BT2:BT30" si="0">B2</f>
        <v>ABRAKWAH EVA OWUSUAA</v>
      </c>
      <c r="BU2" s="32" t="s">
        <v>155</v>
      </c>
      <c r="BV2" s="32" t="s">
        <v>187</v>
      </c>
      <c r="BW2" s="32">
        <f>R2</f>
        <v>1</v>
      </c>
      <c r="BX2" s="32">
        <f>X2</f>
        <v>1</v>
      </c>
      <c r="BY2" s="32">
        <f>AD2</f>
        <v>1</v>
      </c>
      <c r="BZ2" s="32">
        <f>AJ2</f>
        <v>1</v>
      </c>
      <c r="CA2" s="32">
        <f>AP2</f>
        <v>1</v>
      </c>
      <c r="CB2" s="32">
        <f>AV2</f>
        <v>1</v>
      </c>
      <c r="CC2" s="32">
        <f>CAD!J4</f>
        <v>2</v>
      </c>
      <c r="CD2" s="32">
        <f>BH2</f>
        <v>1</v>
      </c>
      <c r="CE2" s="32">
        <f>BN2</f>
        <v>1</v>
      </c>
      <c r="CF2" s="67">
        <f>SUM((SMALL(BW2:CE2,{1,2,3,5,5,6})))</f>
        <v>6</v>
      </c>
      <c r="CG2" s="32" t="s">
        <v>138</v>
      </c>
      <c r="CH2" s="81" t="s">
        <v>125</v>
      </c>
      <c r="CI2" s="81" t="s">
        <v>129</v>
      </c>
      <c r="CJ2" s="32" t="str">
        <f t="shared" ref="CJ2:CJ30" si="1">B2</f>
        <v>ABRAKWAH EVA OWUSUAA</v>
      </c>
      <c r="CK2" s="33" t="s">
        <v>113</v>
      </c>
      <c r="CL2" s="33"/>
      <c r="CM2" s="33"/>
      <c r="CN2" s="33"/>
      <c r="CO2" s="33"/>
      <c r="CP2" s="33" t="s">
        <v>113</v>
      </c>
      <c r="CQ2" s="33"/>
      <c r="CR2" s="33"/>
      <c r="CS2" s="33" t="s">
        <v>113</v>
      </c>
      <c r="CT2" s="33"/>
      <c r="CU2" s="33"/>
      <c r="CV2" s="33"/>
      <c r="CW2" s="33"/>
      <c r="CX2" s="33" t="s">
        <v>113</v>
      </c>
      <c r="CY2" s="33"/>
      <c r="CZ2" s="33"/>
      <c r="DA2" s="33"/>
      <c r="DB2" s="33" t="s">
        <v>113</v>
      </c>
      <c r="DC2" s="33"/>
      <c r="DD2" s="33"/>
      <c r="DE2" s="33"/>
      <c r="DF2" s="33"/>
      <c r="DG2" s="33" t="s">
        <v>113</v>
      </c>
      <c r="DH2" s="33"/>
    </row>
    <row r="3" spans="1:115" ht="22.5" customHeight="1" thickBot="1" x14ac:dyDescent="0.3">
      <c r="A3" s="63" t="str">
        <f>'Info List'!A4</f>
        <v>BHS9002</v>
      </c>
      <c r="B3" s="64" t="str">
        <f>'Info List'!B4</f>
        <v>ADZILAFU EDWARD</v>
      </c>
      <c r="C3" s="35">
        <f>'Info List'!C4</f>
        <v>9</v>
      </c>
      <c r="D3" s="41">
        <f>'Info List'!$D$3</f>
        <v>29</v>
      </c>
      <c r="E3" s="32" t="s">
        <v>135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f t="shared" ref="K3:K30" si="2">SUM(F3:J3)</f>
        <v>0</v>
      </c>
      <c r="L3" s="32">
        <f>'Info List'!F4</f>
        <v>0</v>
      </c>
      <c r="M3" s="34">
        <f>'Info List'!$G$3</f>
        <v>0</v>
      </c>
      <c r="N3" s="32">
        <f>ENGLISH!E5</f>
        <v>35</v>
      </c>
      <c r="O3" s="32">
        <f>ENGLISH!G5</f>
        <v>0</v>
      </c>
      <c r="P3" s="32">
        <f>ENGLISH!H5</f>
        <v>35</v>
      </c>
      <c r="Q3" s="32">
        <f>ENGLISH!I5</f>
        <v>29</v>
      </c>
      <c r="R3" s="32">
        <f>ENGLISH!J5</f>
        <v>8</v>
      </c>
      <c r="S3" s="32" t="str">
        <f>ENGLISH!K5</f>
        <v>WEAK PASS</v>
      </c>
      <c r="T3" s="32">
        <f>MATHS!E5</f>
        <v>35</v>
      </c>
      <c r="U3" s="32">
        <f>MATHS!G5</f>
        <v>0</v>
      </c>
      <c r="V3" s="32">
        <f>MATHS!H5</f>
        <v>35</v>
      </c>
      <c r="W3" s="32">
        <f>MATHS!I5</f>
        <v>29</v>
      </c>
      <c r="X3" s="32">
        <f>MATHS!J5</f>
        <v>8</v>
      </c>
      <c r="Y3" s="32" t="str">
        <f>MATHS!K5</f>
        <v>WEAK PASS</v>
      </c>
      <c r="Z3" s="32">
        <f>SCIENCE!E5</f>
        <v>35</v>
      </c>
      <c r="AA3" s="32">
        <f>SCIENCE!G5</f>
        <v>0</v>
      </c>
      <c r="AB3" s="32">
        <f>SCIENCE!H5</f>
        <v>35</v>
      </c>
      <c r="AC3" s="32">
        <f>SCIENCE!I5</f>
        <v>29</v>
      </c>
      <c r="AD3" s="32">
        <f>SCIENCE!J5</f>
        <v>8</v>
      </c>
      <c r="AE3" s="32" t="str">
        <f>SCIENCE!K5</f>
        <v>WEAK PASS</v>
      </c>
      <c r="AF3" s="32">
        <f>SOCIAL!E5</f>
        <v>35</v>
      </c>
      <c r="AG3" s="32">
        <f>SOCIAL!G5</f>
        <v>0</v>
      </c>
      <c r="AH3" s="32">
        <f>SOCIAL!H5</f>
        <v>35</v>
      </c>
      <c r="AI3" s="32">
        <f>SOCIAL!I5</f>
        <v>29</v>
      </c>
      <c r="AJ3" s="32">
        <f>SOCIAL!J5</f>
        <v>8</v>
      </c>
      <c r="AK3" s="32" t="str">
        <f>SOCIAL!K5</f>
        <v>WEAK PASS</v>
      </c>
      <c r="AL3" s="32">
        <f>'R.M.E'!E5</f>
        <v>0</v>
      </c>
      <c r="AM3" s="32">
        <f>'R.M.E'!G5</f>
        <v>0</v>
      </c>
      <c r="AN3" s="32">
        <f>'R.M.E'!H5</f>
        <v>0</v>
      </c>
      <c r="AO3" s="32">
        <f>'R.M.E'!I5</f>
        <v>2</v>
      </c>
      <c r="AP3" s="32">
        <f>'R.M.E'!J5</f>
        <v>9</v>
      </c>
      <c r="AQ3" s="32" t="str">
        <f>'R.M.E'!K5</f>
        <v>FAIL</v>
      </c>
      <c r="AR3" s="32">
        <f>COMPUTING!E5</f>
        <v>0</v>
      </c>
      <c r="AS3" s="32">
        <f>COMPUTING!G5</f>
        <v>0</v>
      </c>
      <c r="AT3" s="32">
        <f>COMPUTING!H5</f>
        <v>0</v>
      </c>
      <c r="AU3" s="32">
        <f>COMPUTING!I5</f>
        <v>2</v>
      </c>
      <c r="AV3" s="32">
        <f>COMPUTING!J5</f>
        <v>9</v>
      </c>
      <c r="AW3" s="32" t="str">
        <f>COMPUTING!K5</f>
        <v>FAIL</v>
      </c>
      <c r="AX3" s="32">
        <f>CAD!E5</f>
        <v>0</v>
      </c>
      <c r="AY3" s="32">
        <f>CAD!G5</f>
        <v>0</v>
      </c>
      <c r="AZ3" s="32">
        <f>CAD!H5</f>
        <v>0</v>
      </c>
      <c r="BA3" s="32">
        <f>CAD!I5</f>
        <v>2</v>
      </c>
      <c r="BB3" s="32">
        <f>CAD!J5</f>
        <v>9</v>
      </c>
      <c r="BC3" s="32" t="str">
        <f>CAD!K5</f>
        <v>FAIL</v>
      </c>
      <c r="BD3" s="32">
        <f>CAREER!E5</f>
        <v>0</v>
      </c>
      <c r="BE3" s="32">
        <f>CAREER!G5</f>
        <v>0</v>
      </c>
      <c r="BF3" s="32">
        <f>CAREER!H5</f>
        <v>0</v>
      </c>
      <c r="BG3" s="32">
        <f>CAREER!I5</f>
        <v>2</v>
      </c>
      <c r="BH3" s="32">
        <f>CAREER!J5</f>
        <v>9</v>
      </c>
      <c r="BI3" s="32" t="str">
        <f>CAREER!K5</f>
        <v>FAIL</v>
      </c>
      <c r="BJ3" s="32">
        <f>FANTE!E5</f>
        <v>0</v>
      </c>
      <c r="BK3" s="32">
        <f>FANTE!G5</f>
        <v>0</v>
      </c>
      <c r="BL3" s="32">
        <f>FANTE!H5</f>
        <v>0</v>
      </c>
      <c r="BM3" s="32">
        <f>FANTE!I5</f>
        <v>2</v>
      </c>
      <c r="BN3" s="32">
        <f>FANTE!J5</f>
        <v>9</v>
      </c>
      <c r="BO3" s="32" t="str">
        <f>FANTE!K5</f>
        <v>FAIL</v>
      </c>
      <c r="BP3" s="66">
        <f t="shared" ref="BP3:BP30" si="3">P3+V3+AB3+AH3+AN3+AT3+AZ3+BF3+BL3</f>
        <v>140</v>
      </c>
      <c r="BQ3" s="83" t="str">
        <f t="shared" ref="BQ3:BQ30" si="4">_xlfn.RANK.EQ(BP3,$BP$2:$BP$30) &amp; IF(AND(MOD(_xlfn.RANK.EQ(BP3,$BP$2:$BP$30),100)&gt;=11, MOD(_xlfn.RANK.EQ(BP3,$BP$2:$BP$30),100)&lt;=13), "th", CHOOSE(MOD(_xlfn.RANK.EQ(BP3,$BP$2:$BP$30),10)+1, "th","st","nd","rd","th","th","th","th","th","th"))</f>
        <v>29th</v>
      </c>
      <c r="BR3" s="32" t="str">
        <f>VLOOKUP(BP3,'GRADING SYSTEM'!$A$1:$P$10,2)</f>
        <v>Below average, must buck up.</v>
      </c>
      <c r="BS3" s="32" t="str">
        <f>VLOOKUP(BP3,'GRADING SYSTEM'!$A$1:$P$10,10)</f>
        <v>Below average, you must work hard. There is the need for parental support.</v>
      </c>
      <c r="BT3" s="32" t="str">
        <f t="shared" si="0"/>
        <v>ADZILAFU EDWARD</v>
      </c>
      <c r="BU3" s="32" t="s">
        <v>175</v>
      </c>
      <c r="BV3" s="32" t="s">
        <v>200</v>
      </c>
      <c r="BW3" s="32">
        <f t="shared" ref="BW3:BW30" si="5">R3</f>
        <v>8</v>
      </c>
      <c r="BX3" s="32">
        <f t="shared" ref="BX3:BX30" si="6">X3</f>
        <v>8</v>
      </c>
      <c r="BY3" s="32">
        <f t="shared" ref="BY3:BY30" si="7">AD3</f>
        <v>8</v>
      </c>
      <c r="BZ3" s="32">
        <f t="shared" ref="BZ3:BZ30" si="8">AJ3</f>
        <v>8</v>
      </c>
      <c r="CA3" s="32">
        <f t="shared" ref="CA3:CA30" si="9">AP3</f>
        <v>9</v>
      </c>
      <c r="CB3" s="32">
        <f t="shared" ref="CB3:CB30" si="10">AV3</f>
        <v>9</v>
      </c>
      <c r="CC3" s="32">
        <f>CAD!J5</f>
        <v>9</v>
      </c>
      <c r="CD3" s="32">
        <f t="shared" ref="CD3:CD30" si="11">BH3</f>
        <v>9</v>
      </c>
      <c r="CE3" s="32">
        <f t="shared" ref="CE3:CE30" si="12">BN3</f>
        <v>9</v>
      </c>
      <c r="CF3" s="67">
        <f>SUM((SMALL(BW3:CE3,{1,2,3,5,5,6})))</f>
        <v>51</v>
      </c>
      <c r="CG3" s="32" t="s">
        <v>138</v>
      </c>
      <c r="CH3" s="82" t="s">
        <v>126</v>
      </c>
      <c r="CI3" s="82" t="s">
        <v>130</v>
      </c>
      <c r="CJ3" s="32" t="str">
        <f t="shared" si="1"/>
        <v>ADZILAFU EDWARD</v>
      </c>
      <c r="CK3" s="33"/>
      <c r="CL3" s="33"/>
      <c r="CM3" s="33" t="s">
        <v>113</v>
      </c>
      <c r="CN3" s="33"/>
      <c r="CO3" s="33" t="s">
        <v>113</v>
      </c>
      <c r="CP3" s="33"/>
      <c r="CQ3" s="33"/>
      <c r="CR3" s="33"/>
      <c r="CS3" s="33" t="s">
        <v>113</v>
      </c>
      <c r="CT3" s="33"/>
      <c r="CU3" s="33"/>
      <c r="CV3" s="33"/>
      <c r="CW3" s="33"/>
      <c r="CX3" s="33" t="s">
        <v>113</v>
      </c>
      <c r="CY3" s="33"/>
      <c r="CZ3" s="33"/>
      <c r="DA3" s="33"/>
      <c r="DB3" s="33"/>
      <c r="DC3" s="33" t="s">
        <v>113</v>
      </c>
      <c r="DD3" s="33"/>
      <c r="DE3" s="33"/>
      <c r="DF3" s="33"/>
      <c r="DG3" s="33" t="s">
        <v>113</v>
      </c>
      <c r="DH3" s="33"/>
    </row>
    <row r="4" spans="1:115" ht="22.5" customHeight="1" thickBot="1" x14ac:dyDescent="0.3">
      <c r="A4" s="63" t="str">
        <f>'Info List'!A5</f>
        <v>BHS9003</v>
      </c>
      <c r="B4" s="64" t="str">
        <f>'Info List'!B5</f>
        <v>AGYEPONG DASEBRE</v>
      </c>
      <c r="C4" s="35">
        <f>'Info List'!C5</f>
        <v>9</v>
      </c>
      <c r="D4" s="41">
        <f>'Info List'!$D$3</f>
        <v>29</v>
      </c>
      <c r="E4" s="32" t="s">
        <v>135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f t="shared" si="2"/>
        <v>0</v>
      </c>
      <c r="L4" s="32">
        <f>'Info List'!F5</f>
        <v>0</v>
      </c>
      <c r="M4" s="34">
        <f>'Info List'!$G$3</f>
        <v>0</v>
      </c>
      <c r="N4" s="32">
        <f>ENGLISH!E6</f>
        <v>35.5</v>
      </c>
      <c r="O4" s="32">
        <f>ENGLISH!G6</f>
        <v>0</v>
      </c>
      <c r="P4" s="32">
        <f>ENGLISH!H6</f>
        <v>35.5</v>
      </c>
      <c r="Q4" s="32">
        <f>ENGLISH!I6</f>
        <v>28</v>
      </c>
      <c r="R4" s="32">
        <f>ENGLISH!J6</f>
        <v>8</v>
      </c>
      <c r="S4" s="32" t="str">
        <f>ENGLISH!K6</f>
        <v>WEAK PASS</v>
      </c>
      <c r="T4" s="32">
        <f>MATHS!E6</f>
        <v>35.5</v>
      </c>
      <c r="U4" s="32">
        <f>MATHS!G6</f>
        <v>0</v>
      </c>
      <c r="V4" s="32">
        <f>MATHS!H6</f>
        <v>35.5</v>
      </c>
      <c r="W4" s="32">
        <f>MATHS!I6</f>
        <v>28</v>
      </c>
      <c r="X4" s="32">
        <f>MATHS!J6</f>
        <v>8</v>
      </c>
      <c r="Y4" s="32" t="str">
        <f>MATHS!K6</f>
        <v>WEAK PASS</v>
      </c>
      <c r="Z4" s="32">
        <f>SCIENCE!E6</f>
        <v>35.5</v>
      </c>
      <c r="AA4" s="32">
        <f>SCIENCE!G6</f>
        <v>0</v>
      </c>
      <c r="AB4" s="32">
        <f>SCIENCE!H6</f>
        <v>35.5</v>
      </c>
      <c r="AC4" s="32">
        <f>SCIENCE!I6</f>
        <v>28</v>
      </c>
      <c r="AD4" s="32">
        <f>SCIENCE!J6</f>
        <v>8</v>
      </c>
      <c r="AE4" s="32" t="str">
        <f>SCIENCE!K6</f>
        <v>WEAK PASS</v>
      </c>
      <c r="AF4" s="32">
        <f>SOCIAL!E6</f>
        <v>35.5</v>
      </c>
      <c r="AG4" s="32">
        <f>SOCIAL!G6</f>
        <v>0</v>
      </c>
      <c r="AH4" s="32">
        <f>SOCIAL!H6</f>
        <v>35.5</v>
      </c>
      <c r="AI4" s="32">
        <f>SOCIAL!I6</f>
        <v>28</v>
      </c>
      <c r="AJ4" s="32">
        <f>SOCIAL!J6</f>
        <v>8</v>
      </c>
      <c r="AK4" s="32" t="str">
        <f>SOCIAL!K6</f>
        <v>WEAK PASS</v>
      </c>
      <c r="AL4" s="32">
        <f>'R.M.E'!E6</f>
        <v>0</v>
      </c>
      <c r="AM4" s="32">
        <f>'R.M.E'!G6</f>
        <v>0</v>
      </c>
      <c r="AN4" s="32">
        <f>'R.M.E'!H6</f>
        <v>0</v>
      </c>
      <c r="AO4" s="32">
        <f>'R.M.E'!I6</f>
        <v>2</v>
      </c>
      <c r="AP4" s="32">
        <f>'R.M.E'!J6</f>
        <v>9</v>
      </c>
      <c r="AQ4" s="32" t="str">
        <f>'R.M.E'!K6</f>
        <v>FAIL</v>
      </c>
      <c r="AR4" s="32">
        <f>COMPUTING!E6</f>
        <v>0</v>
      </c>
      <c r="AS4" s="32">
        <f>COMPUTING!G6</f>
        <v>0</v>
      </c>
      <c r="AT4" s="32">
        <f>COMPUTING!H6</f>
        <v>0</v>
      </c>
      <c r="AU4" s="32">
        <f>COMPUTING!I6</f>
        <v>2</v>
      </c>
      <c r="AV4" s="32">
        <f>COMPUTING!J6</f>
        <v>9</v>
      </c>
      <c r="AW4" s="32" t="str">
        <f>COMPUTING!K6</f>
        <v>FAIL</v>
      </c>
      <c r="AX4" s="32">
        <f>CAD!E6</f>
        <v>0</v>
      </c>
      <c r="AY4" s="32">
        <f>CAD!G6</f>
        <v>0</v>
      </c>
      <c r="AZ4" s="32">
        <f>CAD!H6</f>
        <v>0</v>
      </c>
      <c r="BA4" s="32">
        <f>CAD!I6</f>
        <v>2</v>
      </c>
      <c r="BB4" s="32">
        <f>CAD!J6</f>
        <v>9</v>
      </c>
      <c r="BC4" s="32" t="str">
        <f>CAD!K6</f>
        <v>FAIL</v>
      </c>
      <c r="BD4" s="32">
        <f>CAREER!E6</f>
        <v>0</v>
      </c>
      <c r="BE4" s="32">
        <f>CAREER!G6</f>
        <v>0</v>
      </c>
      <c r="BF4" s="32">
        <f>CAREER!H6</f>
        <v>0</v>
      </c>
      <c r="BG4" s="32">
        <f>CAREER!I6</f>
        <v>2</v>
      </c>
      <c r="BH4" s="32">
        <f>CAREER!J6</f>
        <v>9</v>
      </c>
      <c r="BI4" s="32" t="str">
        <f>CAREER!K6</f>
        <v>FAIL</v>
      </c>
      <c r="BJ4" s="32">
        <f>FANTE!E6</f>
        <v>0</v>
      </c>
      <c r="BK4" s="32">
        <f>FANTE!G6</f>
        <v>0</v>
      </c>
      <c r="BL4" s="32">
        <f>FANTE!H6</f>
        <v>0</v>
      </c>
      <c r="BM4" s="32">
        <f>FANTE!I6</f>
        <v>2</v>
      </c>
      <c r="BN4" s="32">
        <f>FANTE!J6</f>
        <v>9</v>
      </c>
      <c r="BO4" s="32" t="str">
        <f>FANTE!K6</f>
        <v>FAIL</v>
      </c>
      <c r="BP4" s="66">
        <f t="shared" si="3"/>
        <v>142</v>
      </c>
      <c r="BQ4" s="83" t="str">
        <f t="shared" si="4"/>
        <v>28th</v>
      </c>
      <c r="BR4" s="32" t="str">
        <f>VLOOKUP(BP4,'GRADING SYSTEM'!$A$1:$P$10,2)</f>
        <v>Below average, must buck up.</v>
      </c>
      <c r="BS4" s="32" t="str">
        <f>VLOOKUP(BP4,'GRADING SYSTEM'!$A$1:$P$10,10)</f>
        <v>Below average, you must work hard. There is the need for parental support.</v>
      </c>
      <c r="BT4" s="32" t="str">
        <f t="shared" si="0"/>
        <v>AGYEPONG DASEBRE</v>
      </c>
      <c r="BU4" s="32" t="s">
        <v>174</v>
      </c>
      <c r="BV4" s="32" t="s">
        <v>189</v>
      </c>
      <c r="BW4" s="32">
        <f t="shared" si="5"/>
        <v>8</v>
      </c>
      <c r="BX4" s="32">
        <f t="shared" si="6"/>
        <v>8</v>
      </c>
      <c r="BY4" s="32">
        <f t="shared" si="7"/>
        <v>8</v>
      </c>
      <c r="BZ4" s="32">
        <f t="shared" si="8"/>
        <v>8</v>
      </c>
      <c r="CA4" s="32">
        <f t="shared" si="9"/>
        <v>9</v>
      </c>
      <c r="CB4" s="32">
        <f t="shared" si="10"/>
        <v>9</v>
      </c>
      <c r="CC4" s="32">
        <f>CAD!J6</f>
        <v>9</v>
      </c>
      <c r="CD4" s="32">
        <f t="shared" si="11"/>
        <v>9</v>
      </c>
      <c r="CE4" s="32">
        <f t="shared" si="12"/>
        <v>9</v>
      </c>
      <c r="CF4" s="67">
        <f>SUM((SMALL(BW4:CE4,{1,2,3,5,5,6})))</f>
        <v>51</v>
      </c>
      <c r="CG4" s="32" t="s">
        <v>138</v>
      </c>
      <c r="CH4" s="82" t="s">
        <v>149</v>
      </c>
      <c r="CI4" s="82" t="s">
        <v>131</v>
      </c>
      <c r="CJ4" s="32" t="str">
        <f t="shared" si="1"/>
        <v>AGYEPONG DASEBRE</v>
      </c>
      <c r="CK4" s="33"/>
      <c r="CL4" s="33"/>
      <c r="CM4" s="33" t="s">
        <v>113</v>
      </c>
      <c r="CN4" s="33"/>
      <c r="CO4" s="33"/>
      <c r="CP4" s="33" t="s">
        <v>113</v>
      </c>
      <c r="CQ4" s="33"/>
      <c r="CR4" s="33"/>
      <c r="CS4" s="33" t="s">
        <v>113</v>
      </c>
      <c r="CT4" s="33"/>
      <c r="CU4" s="33"/>
      <c r="CV4" s="33"/>
      <c r="CW4" s="33"/>
      <c r="CX4" s="33" t="s">
        <v>113</v>
      </c>
      <c r="CY4" s="33"/>
      <c r="CZ4" s="33"/>
      <c r="DA4" s="33"/>
      <c r="DB4" s="33" t="s">
        <v>113</v>
      </c>
      <c r="DC4" s="33"/>
      <c r="DD4" s="33"/>
      <c r="DE4" s="33"/>
      <c r="DF4" s="33"/>
      <c r="DG4" s="33" t="s">
        <v>113</v>
      </c>
      <c r="DH4" s="33"/>
    </row>
    <row r="5" spans="1:115" ht="24" customHeight="1" thickBot="1" x14ac:dyDescent="0.3">
      <c r="A5" s="63" t="str">
        <f>'Info List'!A6</f>
        <v>BHS9004</v>
      </c>
      <c r="B5" s="64" t="str">
        <f>'Info List'!B6</f>
        <v>ANIWA JOANA SEYRAM</v>
      </c>
      <c r="C5" s="35">
        <f>'Info List'!C6</f>
        <v>9</v>
      </c>
      <c r="D5" s="41">
        <f>'Info List'!$D$3</f>
        <v>29</v>
      </c>
      <c r="E5" s="32" t="s">
        <v>135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f t="shared" si="2"/>
        <v>0</v>
      </c>
      <c r="L5" s="32">
        <f>'Info List'!F6</f>
        <v>0</v>
      </c>
      <c r="M5" s="34">
        <f>'Info List'!$G$3</f>
        <v>0</v>
      </c>
      <c r="N5" s="32">
        <f>ENGLISH!E7</f>
        <v>36</v>
      </c>
      <c r="O5" s="32">
        <f>ENGLISH!G7</f>
        <v>0</v>
      </c>
      <c r="P5" s="32">
        <f>ENGLISH!H7</f>
        <v>36</v>
      </c>
      <c r="Q5" s="32">
        <f>ENGLISH!I7</f>
        <v>27</v>
      </c>
      <c r="R5" s="32">
        <f>ENGLISH!J7</f>
        <v>8</v>
      </c>
      <c r="S5" s="32" t="str">
        <f>ENGLISH!K7</f>
        <v>WEAK PASS</v>
      </c>
      <c r="T5" s="32">
        <f>MATHS!E7</f>
        <v>36</v>
      </c>
      <c r="U5" s="32">
        <f>MATHS!G7</f>
        <v>0</v>
      </c>
      <c r="V5" s="32">
        <f>MATHS!H7</f>
        <v>36</v>
      </c>
      <c r="W5" s="32">
        <f>MATHS!I7</f>
        <v>27</v>
      </c>
      <c r="X5" s="32">
        <f>MATHS!J7</f>
        <v>8</v>
      </c>
      <c r="Y5" s="32" t="str">
        <f>MATHS!K7</f>
        <v>WEAK PASS</v>
      </c>
      <c r="Z5" s="32">
        <f>SCIENCE!E7</f>
        <v>36</v>
      </c>
      <c r="AA5" s="32">
        <f>SCIENCE!G7</f>
        <v>0</v>
      </c>
      <c r="AB5" s="32">
        <f>SCIENCE!H7</f>
        <v>36</v>
      </c>
      <c r="AC5" s="32">
        <f>SCIENCE!I7</f>
        <v>27</v>
      </c>
      <c r="AD5" s="32">
        <f>SCIENCE!J7</f>
        <v>8</v>
      </c>
      <c r="AE5" s="32" t="str">
        <f>SCIENCE!K7</f>
        <v>WEAK PASS</v>
      </c>
      <c r="AF5" s="32">
        <f>SOCIAL!E7</f>
        <v>36</v>
      </c>
      <c r="AG5" s="32">
        <f>SOCIAL!G7</f>
        <v>0</v>
      </c>
      <c r="AH5" s="32">
        <f>SOCIAL!H7</f>
        <v>36</v>
      </c>
      <c r="AI5" s="32">
        <f>SOCIAL!I7</f>
        <v>27</v>
      </c>
      <c r="AJ5" s="32">
        <f>SOCIAL!J7</f>
        <v>8</v>
      </c>
      <c r="AK5" s="32" t="str">
        <f>SOCIAL!K7</f>
        <v>WEAK PASS</v>
      </c>
      <c r="AL5" s="32">
        <f>'R.M.E'!E7</f>
        <v>0</v>
      </c>
      <c r="AM5" s="32">
        <f>'R.M.E'!G7</f>
        <v>0</v>
      </c>
      <c r="AN5" s="32">
        <f>'R.M.E'!H7</f>
        <v>0</v>
      </c>
      <c r="AO5" s="32">
        <f>'R.M.E'!I7</f>
        <v>2</v>
      </c>
      <c r="AP5" s="32">
        <f>'R.M.E'!J7</f>
        <v>9</v>
      </c>
      <c r="AQ5" s="32" t="str">
        <f>'R.M.E'!K7</f>
        <v>FAIL</v>
      </c>
      <c r="AR5" s="32">
        <f>COMPUTING!E7</f>
        <v>0</v>
      </c>
      <c r="AS5" s="32">
        <f>COMPUTING!G7</f>
        <v>0</v>
      </c>
      <c r="AT5" s="32">
        <f>COMPUTING!H7</f>
        <v>0</v>
      </c>
      <c r="AU5" s="32">
        <f>COMPUTING!I7</f>
        <v>2</v>
      </c>
      <c r="AV5" s="32">
        <f>COMPUTING!J7</f>
        <v>9</v>
      </c>
      <c r="AW5" s="32" t="str">
        <f>COMPUTING!K7</f>
        <v>FAIL</v>
      </c>
      <c r="AX5" s="32">
        <f>CAD!E7</f>
        <v>0</v>
      </c>
      <c r="AY5" s="32">
        <f>CAD!G7</f>
        <v>0</v>
      </c>
      <c r="AZ5" s="32">
        <f>CAD!H7</f>
        <v>0</v>
      </c>
      <c r="BA5" s="32">
        <f>CAD!I7</f>
        <v>2</v>
      </c>
      <c r="BB5" s="32">
        <f>CAD!J7</f>
        <v>9</v>
      </c>
      <c r="BC5" s="32" t="str">
        <f>CAD!K7</f>
        <v>FAIL</v>
      </c>
      <c r="BD5" s="32">
        <f>CAREER!E7</f>
        <v>0</v>
      </c>
      <c r="BE5" s="32">
        <f>CAREER!G7</f>
        <v>0</v>
      </c>
      <c r="BF5" s="32">
        <f>CAREER!H7</f>
        <v>0</v>
      </c>
      <c r="BG5" s="32">
        <f>CAREER!I7</f>
        <v>2</v>
      </c>
      <c r="BH5" s="32">
        <f>CAREER!J7</f>
        <v>9</v>
      </c>
      <c r="BI5" s="32" t="str">
        <f>CAREER!K7</f>
        <v>FAIL</v>
      </c>
      <c r="BJ5" s="32">
        <f>FANTE!E7</f>
        <v>0</v>
      </c>
      <c r="BK5" s="32">
        <f>FANTE!G7</f>
        <v>0</v>
      </c>
      <c r="BL5" s="32">
        <f>FANTE!H7</f>
        <v>0</v>
      </c>
      <c r="BM5" s="32">
        <f>FANTE!I7</f>
        <v>2</v>
      </c>
      <c r="BN5" s="32">
        <f>FANTE!J7</f>
        <v>9</v>
      </c>
      <c r="BO5" s="32" t="str">
        <f>FANTE!K7</f>
        <v>FAIL</v>
      </c>
      <c r="BP5" s="66">
        <f t="shared" si="3"/>
        <v>144</v>
      </c>
      <c r="BQ5" s="83" t="str">
        <f t="shared" si="4"/>
        <v>27th</v>
      </c>
      <c r="BR5" s="32" t="str">
        <f>VLOOKUP(BP5,'GRADING SYSTEM'!$A$1:$P$10,2)</f>
        <v>Below average, must buck up.</v>
      </c>
      <c r="BS5" s="32" t="str">
        <f>VLOOKUP(BP5,'GRADING SYSTEM'!$A$1:$P$10,10)</f>
        <v>Below average, you must work hard. There is the need for parental support.</v>
      </c>
      <c r="BT5" s="32" t="str">
        <f t="shared" si="0"/>
        <v>ANIWA JOANA SEYRAM</v>
      </c>
      <c r="BU5" s="32" t="s">
        <v>172</v>
      </c>
      <c r="BV5" s="32" t="s">
        <v>194</v>
      </c>
      <c r="BW5" s="32">
        <f t="shared" si="5"/>
        <v>8</v>
      </c>
      <c r="BX5" s="32">
        <f t="shared" si="6"/>
        <v>8</v>
      </c>
      <c r="BY5" s="32">
        <f t="shared" si="7"/>
        <v>8</v>
      </c>
      <c r="BZ5" s="32">
        <f t="shared" si="8"/>
        <v>8</v>
      </c>
      <c r="CA5" s="32">
        <f t="shared" si="9"/>
        <v>9</v>
      </c>
      <c r="CB5" s="32">
        <f t="shared" si="10"/>
        <v>9</v>
      </c>
      <c r="CC5" s="32">
        <f>CAD!J7</f>
        <v>9</v>
      </c>
      <c r="CD5" s="32">
        <f t="shared" si="11"/>
        <v>9</v>
      </c>
      <c r="CE5" s="32">
        <f t="shared" si="12"/>
        <v>9</v>
      </c>
      <c r="CF5" s="67">
        <f>SUM((SMALL(BW5:CE5,{1,2,3,5,5,6})))</f>
        <v>51</v>
      </c>
      <c r="CG5" s="32" t="s">
        <v>138</v>
      </c>
      <c r="CH5" s="82" t="s">
        <v>150</v>
      </c>
      <c r="CI5" s="82" t="s">
        <v>132</v>
      </c>
      <c r="CJ5" s="32" t="str">
        <f t="shared" si="1"/>
        <v>ANIWA JOANA SEYRAM</v>
      </c>
      <c r="CK5" s="33" t="s">
        <v>113</v>
      </c>
      <c r="CL5" s="33"/>
      <c r="CM5" s="33"/>
      <c r="CN5" s="33"/>
      <c r="CO5" s="33" t="s">
        <v>113</v>
      </c>
      <c r="CP5" s="33"/>
      <c r="CQ5" s="33"/>
      <c r="CR5" s="33"/>
      <c r="CS5" s="33" t="s">
        <v>113</v>
      </c>
      <c r="CT5" s="33"/>
      <c r="CU5" s="33"/>
      <c r="CV5" s="33"/>
      <c r="CW5" s="33"/>
      <c r="CX5" s="33" t="s">
        <v>113</v>
      </c>
      <c r="CY5" s="33"/>
      <c r="CZ5" s="33"/>
      <c r="DA5" s="33"/>
      <c r="DB5" s="33"/>
      <c r="DC5" s="33" t="s">
        <v>113</v>
      </c>
      <c r="DD5" s="33"/>
      <c r="DE5" s="33"/>
      <c r="DF5" s="33"/>
      <c r="DG5" s="33" t="s">
        <v>113</v>
      </c>
      <c r="DH5" s="33"/>
    </row>
    <row r="6" spans="1:115" ht="24.75" customHeight="1" thickBot="1" x14ac:dyDescent="0.3">
      <c r="A6" s="63" t="str">
        <f>'Info List'!A7</f>
        <v>BHS9005</v>
      </c>
      <c r="B6" s="64" t="str">
        <f>'Info List'!B7</f>
        <v>ANNAN AGNES</v>
      </c>
      <c r="C6" s="35">
        <f>'Info List'!C7</f>
        <v>9</v>
      </c>
      <c r="D6" s="41">
        <f>'Info List'!$D$3</f>
        <v>29</v>
      </c>
      <c r="E6" s="32" t="s">
        <v>135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f t="shared" si="2"/>
        <v>0</v>
      </c>
      <c r="L6" s="32">
        <f>'Info List'!F7</f>
        <v>0</v>
      </c>
      <c r="M6" s="34">
        <f>'Info List'!$G$3</f>
        <v>0</v>
      </c>
      <c r="N6" s="32">
        <f>ENGLISH!E8</f>
        <v>36.5</v>
      </c>
      <c r="O6" s="32">
        <f>ENGLISH!G8</f>
        <v>0</v>
      </c>
      <c r="P6" s="32">
        <f>ENGLISH!H8</f>
        <v>36.5</v>
      </c>
      <c r="Q6" s="32">
        <f>ENGLISH!I8</f>
        <v>26</v>
      </c>
      <c r="R6" s="32">
        <f>ENGLISH!J8</f>
        <v>8</v>
      </c>
      <c r="S6" s="32" t="str">
        <f>ENGLISH!K8</f>
        <v>WEAK PASS</v>
      </c>
      <c r="T6" s="32">
        <f>MATHS!E8</f>
        <v>36.5</v>
      </c>
      <c r="U6" s="32">
        <f>MATHS!G8</f>
        <v>0</v>
      </c>
      <c r="V6" s="32">
        <f>MATHS!H8</f>
        <v>36.5</v>
      </c>
      <c r="W6" s="32">
        <f>MATHS!I8</f>
        <v>26</v>
      </c>
      <c r="X6" s="32">
        <f>MATHS!J8</f>
        <v>8</v>
      </c>
      <c r="Y6" s="32" t="str">
        <f>MATHS!K8</f>
        <v>WEAK PASS</v>
      </c>
      <c r="Z6" s="32">
        <f>SCIENCE!E8</f>
        <v>36.5</v>
      </c>
      <c r="AA6" s="32">
        <f>SCIENCE!G8</f>
        <v>0</v>
      </c>
      <c r="AB6" s="32">
        <f>SCIENCE!H8</f>
        <v>36.5</v>
      </c>
      <c r="AC6" s="32">
        <f>SCIENCE!I8</f>
        <v>26</v>
      </c>
      <c r="AD6" s="32">
        <f>SCIENCE!J8</f>
        <v>8</v>
      </c>
      <c r="AE6" s="32" t="str">
        <f>SCIENCE!K8</f>
        <v>WEAK PASS</v>
      </c>
      <c r="AF6" s="32">
        <f>SOCIAL!E8</f>
        <v>36.5</v>
      </c>
      <c r="AG6" s="32">
        <f>SOCIAL!G8</f>
        <v>0</v>
      </c>
      <c r="AH6" s="32">
        <f>SOCIAL!H8</f>
        <v>36.5</v>
      </c>
      <c r="AI6" s="32">
        <f>SOCIAL!I8</f>
        <v>26</v>
      </c>
      <c r="AJ6" s="32">
        <f>SOCIAL!J8</f>
        <v>8</v>
      </c>
      <c r="AK6" s="32" t="str">
        <f>SOCIAL!K8</f>
        <v>WEAK PASS</v>
      </c>
      <c r="AL6" s="32">
        <f>'R.M.E'!E8</f>
        <v>0</v>
      </c>
      <c r="AM6" s="32">
        <f>'R.M.E'!G8</f>
        <v>0</v>
      </c>
      <c r="AN6" s="32">
        <f>'R.M.E'!H8</f>
        <v>0</v>
      </c>
      <c r="AO6" s="32">
        <f>'R.M.E'!I8</f>
        <v>2</v>
      </c>
      <c r="AP6" s="32">
        <f>'R.M.E'!J8</f>
        <v>9</v>
      </c>
      <c r="AQ6" s="32" t="str">
        <f>'R.M.E'!K8</f>
        <v>FAIL</v>
      </c>
      <c r="AR6" s="32">
        <f>COMPUTING!E8</f>
        <v>0</v>
      </c>
      <c r="AS6" s="32">
        <f>COMPUTING!G8</f>
        <v>0</v>
      </c>
      <c r="AT6" s="32">
        <f>COMPUTING!H8</f>
        <v>0</v>
      </c>
      <c r="AU6" s="32">
        <f>COMPUTING!I8</f>
        <v>2</v>
      </c>
      <c r="AV6" s="32">
        <f>COMPUTING!J8</f>
        <v>9</v>
      </c>
      <c r="AW6" s="32" t="str">
        <f>COMPUTING!K8</f>
        <v>FAIL</v>
      </c>
      <c r="AX6" s="32">
        <f>CAD!E8</f>
        <v>0</v>
      </c>
      <c r="AY6" s="32">
        <f>CAD!G8</f>
        <v>0</v>
      </c>
      <c r="AZ6" s="32">
        <f>CAD!H8</f>
        <v>0</v>
      </c>
      <c r="BA6" s="32">
        <f>CAD!I8</f>
        <v>2</v>
      </c>
      <c r="BB6" s="32">
        <f>CAD!J8</f>
        <v>9</v>
      </c>
      <c r="BC6" s="32" t="str">
        <f>CAD!K8</f>
        <v>FAIL</v>
      </c>
      <c r="BD6" s="32">
        <f>CAREER!E8</f>
        <v>0</v>
      </c>
      <c r="BE6" s="32">
        <f>CAREER!G8</f>
        <v>0</v>
      </c>
      <c r="BF6" s="32">
        <f>CAREER!H8</f>
        <v>0</v>
      </c>
      <c r="BG6" s="32">
        <f>CAREER!I8</f>
        <v>2</v>
      </c>
      <c r="BH6" s="32">
        <f>CAREER!J8</f>
        <v>9</v>
      </c>
      <c r="BI6" s="32" t="str">
        <f>CAREER!K8</f>
        <v>FAIL</v>
      </c>
      <c r="BJ6" s="32">
        <f>FANTE!E8</f>
        <v>0</v>
      </c>
      <c r="BK6" s="32">
        <f>FANTE!G8</f>
        <v>0</v>
      </c>
      <c r="BL6" s="32">
        <f>FANTE!H8</f>
        <v>0</v>
      </c>
      <c r="BM6" s="32">
        <f>FANTE!I8</f>
        <v>2</v>
      </c>
      <c r="BN6" s="32">
        <f>FANTE!J8</f>
        <v>9</v>
      </c>
      <c r="BO6" s="32" t="str">
        <f>FANTE!K8</f>
        <v>FAIL</v>
      </c>
      <c r="BP6" s="66">
        <f t="shared" si="3"/>
        <v>146</v>
      </c>
      <c r="BQ6" s="83" t="str">
        <f t="shared" si="4"/>
        <v>26th</v>
      </c>
      <c r="BR6" s="32" t="str">
        <f>VLOOKUP(BP6,'GRADING SYSTEM'!$A$1:$P$10,2)</f>
        <v>Below average, must buck up.</v>
      </c>
      <c r="BS6" s="32" t="str">
        <f>VLOOKUP(BP6,'GRADING SYSTEM'!$A$1:$P$10,10)</f>
        <v>Below average, you must work hard. There is the need for parental support.</v>
      </c>
      <c r="BT6" s="32" t="str">
        <f t="shared" si="0"/>
        <v>ANNAN AGNES</v>
      </c>
      <c r="BU6" s="32" t="s">
        <v>176</v>
      </c>
      <c r="BV6" s="32" t="s">
        <v>200</v>
      </c>
      <c r="BW6" s="32">
        <f t="shared" si="5"/>
        <v>8</v>
      </c>
      <c r="BX6" s="32">
        <f t="shared" si="6"/>
        <v>8</v>
      </c>
      <c r="BY6" s="32">
        <f t="shared" si="7"/>
        <v>8</v>
      </c>
      <c r="BZ6" s="32">
        <f t="shared" si="8"/>
        <v>8</v>
      </c>
      <c r="CA6" s="32">
        <f t="shared" si="9"/>
        <v>9</v>
      </c>
      <c r="CB6" s="32">
        <f t="shared" si="10"/>
        <v>9</v>
      </c>
      <c r="CC6" s="32">
        <f>CAD!J8</f>
        <v>9</v>
      </c>
      <c r="CD6" s="32">
        <f t="shared" si="11"/>
        <v>9</v>
      </c>
      <c r="CE6" s="32">
        <f t="shared" si="12"/>
        <v>9</v>
      </c>
      <c r="CF6" s="67">
        <f>SUM((SMALL(BW6:CE6,{1,2,3,5,5,6})))</f>
        <v>51</v>
      </c>
      <c r="CG6" s="32" t="s">
        <v>138</v>
      </c>
      <c r="CH6" s="82" t="s">
        <v>127</v>
      </c>
      <c r="CI6" s="82" t="s">
        <v>133</v>
      </c>
      <c r="CJ6" s="32" t="str">
        <f t="shared" si="1"/>
        <v>ANNAN AGNES</v>
      </c>
      <c r="CK6" s="33"/>
      <c r="CL6" s="33"/>
      <c r="CM6" s="33" t="s">
        <v>113</v>
      </c>
      <c r="CN6" s="33"/>
      <c r="CO6" s="33"/>
      <c r="CP6" s="33" t="s">
        <v>113</v>
      </c>
      <c r="CQ6" s="33"/>
      <c r="CR6" s="33"/>
      <c r="CS6" s="33" t="s">
        <v>113</v>
      </c>
      <c r="CT6" s="33"/>
      <c r="CU6" s="33"/>
      <c r="CV6" s="33"/>
      <c r="CW6" s="33"/>
      <c r="CX6" s="33" t="s">
        <v>113</v>
      </c>
      <c r="CY6" s="33"/>
      <c r="CZ6" s="33"/>
      <c r="DA6" s="33"/>
      <c r="DB6" s="33" t="s">
        <v>113</v>
      </c>
      <c r="DC6" s="33"/>
      <c r="DD6" s="33"/>
      <c r="DE6" s="33"/>
      <c r="DF6" s="33"/>
      <c r="DG6" s="33" t="s">
        <v>113</v>
      </c>
      <c r="DH6" s="33"/>
    </row>
    <row r="7" spans="1:115" ht="25.5" customHeight="1" thickBot="1" x14ac:dyDescent="0.3">
      <c r="A7" s="63" t="str">
        <f>'Info List'!A8</f>
        <v>BHS9006</v>
      </c>
      <c r="B7" s="64" t="str">
        <f>'Info List'!B8</f>
        <v>ARTHUR LILLIAN ABENA</v>
      </c>
      <c r="C7" s="35">
        <f>'Info List'!C8</f>
        <v>9</v>
      </c>
      <c r="D7" s="41">
        <f>'Info List'!$D$3</f>
        <v>29</v>
      </c>
      <c r="E7" s="32" t="s">
        <v>135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f t="shared" si="2"/>
        <v>0</v>
      </c>
      <c r="L7" s="32">
        <f>'Info List'!F8</f>
        <v>0</v>
      </c>
      <c r="M7" s="34">
        <f>'Info List'!$G$3</f>
        <v>0</v>
      </c>
      <c r="N7" s="32">
        <f>ENGLISH!E9</f>
        <v>37</v>
      </c>
      <c r="O7" s="32">
        <f>ENGLISH!G9</f>
        <v>0</v>
      </c>
      <c r="P7" s="32">
        <f>ENGLISH!H9</f>
        <v>37</v>
      </c>
      <c r="Q7" s="32">
        <f>ENGLISH!I9</f>
        <v>25</v>
      </c>
      <c r="R7" s="32">
        <f>ENGLISH!J9</f>
        <v>8</v>
      </c>
      <c r="S7" s="32" t="str">
        <f>ENGLISH!K9</f>
        <v>WEAK PASS</v>
      </c>
      <c r="T7" s="32">
        <f>MATHS!E9</f>
        <v>37</v>
      </c>
      <c r="U7" s="32">
        <f>MATHS!G9</f>
        <v>0</v>
      </c>
      <c r="V7" s="32">
        <f>MATHS!H9</f>
        <v>37</v>
      </c>
      <c r="W7" s="32">
        <f>MATHS!I9</f>
        <v>25</v>
      </c>
      <c r="X7" s="32">
        <f>MATHS!J9</f>
        <v>8</v>
      </c>
      <c r="Y7" s="32" t="str">
        <f>MATHS!K9</f>
        <v>WEAK PASS</v>
      </c>
      <c r="Z7" s="32">
        <f>SCIENCE!E9</f>
        <v>37</v>
      </c>
      <c r="AA7" s="32">
        <f>SCIENCE!G9</f>
        <v>0</v>
      </c>
      <c r="AB7" s="32">
        <f>SCIENCE!H9</f>
        <v>37</v>
      </c>
      <c r="AC7" s="32">
        <f>SCIENCE!I9</f>
        <v>25</v>
      </c>
      <c r="AD7" s="32">
        <f>SCIENCE!J9</f>
        <v>8</v>
      </c>
      <c r="AE7" s="32" t="str">
        <f>SCIENCE!K9</f>
        <v>WEAK PASS</v>
      </c>
      <c r="AF7" s="32">
        <f>SOCIAL!E9</f>
        <v>37</v>
      </c>
      <c r="AG7" s="32">
        <f>SOCIAL!G9</f>
        <v>0</v>
      </c>
      <c r="AH7" s="32">
        <f>SOCIAL!H9</f>
        <v>37</v>
      </c>
      <c r="AI7" s="32">
        <f>SOCIAL!I9</f>
        <v>25</v>
      </c>
      <c r="AJ7" s="32">
        <f>SOCIAL!J9</f>
        <v>8</v>
      </c>
      <c r="AK7" s="32" t="str">
        <f>SOCIAL!K9</f>
        <v>WEAK PASS</v>
      </c>
      <c r="AL7" s="32">
        <f>'R.M.E'!E9</f>
        <v>0</v>
      </c>
      <c r="AM7" s="32">
        <f>'R.M.E'!G9</f>
        <v>0</v>
      </c>
      <c r="AN7" s="32">
        <f>'R.M.E'!H9</f>
        <v>0</v>
      </c>
      <c r="AO7" s="32">
        <f>'R.M.E'!I9</f>
        <v>2</v>
      </c>
      <c r="AP7" s="32">
        <f>'R.M.E'!J9</f>
        <v>9</v>
      </c>
      <c r="AQ7" s="32" t="str">
        <f>'R.M.E'!K9</f>
        <v>FAIL</v>
      </c>
      <c r="AR7" s="32">
        <f>COMPUTING!E9</f>
        <v>0</v>
      </c>
      <c r="AS7" s="32">
        <f>COMPUTING!G9</f>
        <v>0</v>
      </c>
      <c r="AT7" s="32">
        <f>COMPUTING!H9</f>
        <v>0</v>
      </c>
      <c r="AU7" s="32">
        <f>COMPUTING!I9</f>
        <v>2</v>
      </c>
      <c r="AV7" s="32">
        <f>COMPUTING!J9</f>
        <v>9</v>
      </c>
      <c r="AW7" s="32" t="str">
        <f>COMPUTING!K9</f>
        <v>FAIL</v>
      </c>
      <c r="AX7" s="32">
        <f>CAD!E9</f>
        <v>0</v>
      </c>
      <c r="AY7" s="32">
        <f>CAD!G9</f>
        <v>0</v>
      </c>
      <c r="AZ7" s="32">
        <f>CAD!H9</f>
        <v>0</v>
      </c>
      <c r="BA7" s="32">
        <f>CAD!I9</f>
        <v>2</v>
      </c>
      <c r="BB7" s="32">
        <f>CAD!J9</f>
        <v>9</v>
      </c>
      <c r="BC7" s="32" t="str">
        <f>CAD!K9</f>
        <v>FAIL</v>
      </c>
      <c r="BD7" s="32">
        <f>CAREER!E9</f>
        <v>0</v>
      </c>
      <c r="BE7" s="32">
        <f>CAREER!G9</f>
        <v>0</v>
      </c>
      <c r="BF7" s="32">
        <f>CAREER!H9</f>
        <v>0</v>
      </c>
      <c r="BG7" s="32">
        <f>CAREER!I9</f>
        <v>2</v>
      </c>
      <c r="BH7" s="32">
        <f>CAREER!J9</f>
        <v>9</v>
      </c>
      <c r="BI7" s="32" t="str">
        <f>CAREER!K9</f>
        <v>FAIL</v>
      </c>
      <c r="BJ7" s="32">
        <f>FANTE!E9</f>
        <v>0</v>
      </c>
      <c r="BK7" s="32">
        <f>FANTE!G9</f>
        <v>0</v>
      </c>
      <c r="BL7" s="32">
        <f>FANTE!H9</f>
        <v>0</v>
      </c>
      <c r="BM7" s="32">
        <f>FANTE!I9</f>
        <v>2</v>
      </c>
      <c r="BN7" s="32">
        <f>FANTE!J9</f>
        <v>9</v>
      </c>
      <c r="BO7" s="32" t="str">
        <f>FANTE!K9</f>
        <v>FAIL</v>
      </c>
      <c r="BP7" s="66">
        <f t="shared" si="3"/>
        <v>148</v>
      </c>
      <c r="BQ7" s="83" t="str">
        <f t="shared" si="4"/>
        <v>25th</v>
      </c>
      <c r="BR7" s="32" t="str">
        <f>VLOOKUP(BP7,'GRADING SYSTEM'!$A$1:$P$10,2)</f>
        <v>Below average, must buck up.</v>
      </c>
      <c r="BS7" s="32" t="str">
        <f>VLOOKUP(BP7,'GRADING SYSTEM'!$A$1:$P$10,10)</f>
        <v>Below average, you must work hard. There is the need for parental support.</v>
      </c>
      <c r="BT7" s="32" t="str">
        <f t="shared" si="0"/>
        <v>ARTHUR LILLIAN ABENA</v>
      </c>
      <c r="BU7" s="32"/>
      <c r="BV7" s="32"/>
      <c r="BW7" s="32">
        <f t="shared" si="5"/>
        <v>8</v>
      </c>
      <c r="BX7" s="32">
        <f t="shared" si="6"/>
        <v>8</v>
      </c>
      <c r="BY7" s="32">
        <f t="shared" si="7"/>
        <v>8</v>
      </c>
      <c r="BZ7" s="32">
        <f t="shared" si="8"/>
        <v>8</v>
      </c>
      <c r="CA7" s="32">
        <f t="shared" si="9"/>
        <v>9</v>
      </c>
      <c r="CB7" s="32">
        <f t="shared" si="10"/>
        <v>9</v>
      </c>
      <c r="CC7" s="32">
        <f>CAD!J9</f>
        <v>9</v>
      </c>
      <c r="CD7" s="32">
        <f t="shared" si="11"/>
        <v>9</v>
      </c>
      <c r="CE7" s="32">
        <f t="shared" si="12"/>
        <v>9</v>
      </c>
      <c r="CF7" s="67">
        <f>SUM((SMALL(BW7:CE7,{1,2,3,5,5,6})))</f>
        <v>51</v>
      </c>
      <c r="CG7" s="32" t="s">
        <v>138</v>
      </c>
      <c r="CH7" s="82" t="s">
        <v>151</v>
      </c>
      <c r="CI7" s="82" t="s">
        <v>134</v>
      </c>
      <c r="CJ7" s="32" t="str">
        <f t="shared" si="1"/>
        <v>ARTHUR LILLIAN ABENA</v>
      </c>
      <c r="CK7" s="33" t="s">
        <v>113</v>
      </c>
      <c r="CL7" s="33"/>
      <c r="CM7" s="33"/>
      <c r="CN7" s="33"/>
      <c r="CO7" s="33"/>
      <c r="CP7" s="33"/>
      <c r="CQ7" s="33" t="s">
        <v>113</v>
      </c>
      <c r="CR7" s="33"/>
      <c r="CS7" s="33" t="s">
        <v>113</v>
      </c>
      <c r="CT7" s="33"/>
      <c r="CU7" s="33"/>
      <c r="CV7" s="33"/>
      <c r="CW7" s="33"/>
      <c r="CX7" s="33" t="s">
        <v>113</v>
      </c>
      <c r="CY7" s="33"/>
      <c r="CZ7" s="33"/>
      <c r="DA7" s="33"/>
      <c r="DB7" s="33"/>
      <c r="DC7" s="33" t="s">
        <v>113</v>
      </c>
      <c r="DD7" s="33"/>
      <c r="DE7" s="33"/>
      <c r="DF7" s="33"/>
      <c r="DG7" s="33" t="s">
        <v>113</v>
      </c>
      <c r="DH7" s="33"/>
    </row>
    <row r="8" spans="1:115" ht="28.5" customHeight="1" thickBot="1" x14ac:dyDescent="0.3">
      <c r="A8" s="63" t="str">
        <f>'Info List'!A9</f>
        <v>BHS9007</v>
      </c>
      <c r="B8" s="64" t="str">
        <f>'Info List'!B9</f>
        <v>ASARE JACOB</v>
      </c>
      <c r="C8" s="35">
        <f>'Info List'!C9</f>
        <v>9</v>
      </c>
      <c r="D8" s="41">
        <f>'Info List'!$D$3</f>
        <v>29</v>
      </c>
      <c r="E8" s="32" t="s">
        <v>135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f t="shared" si="2"/>
        <v>0</v>
      </c>
      <c r="L8" s="32">
        <f>'Info List'!F9</f>
        <v>0</v>
      </c>
      <c r="M8" s="34">
        <f>'Info List'!$G$3</f>
        <v>0</v>
      </c>
      <c r="N8" s="32">
        <f>ENGLISH!E10</f>
        <v>37.5</v>
      </c>
      <c r="O8" s="32">
        <f>ENGLISH!G10</f>
        <v>0</v>
      </c>
      <c r="P8" s="32">
        <f>ENGLISH!H10</f>
        <v>37.5</v>
      </c>
      <c r="Q8" s="32">
        <f>ENGLISH!I10</f>
        <v>24</v>
      </c>
      <c r="R8" s="32">
        <f>ENGLISH!J10</f>
        <v>8</v>
      </c>
      <c r="S8" s="32" t="str">
        <f>ENGLISH!K10</f>
        <v>WEAK PASS</v>
      </c>
      <c r="T8" s="32">
        <f>MATHS!E10</f>
        <v>37.5</v>
      </c>
      <c r="U8" s="32">
        <f>MATHS!G10</f>
        <v>0</v>
      </c>
      <c r="V8" s="32">
        <f>MATHS!H10</f>
        <v>37.5</v>
      </c>
      <c r="W8" s="32">
        <f>MATHS!I10</f>
        <v>24</v>
      </c>
      <c r="X8" s="32">
        <f>MATHS!J10</f>
        <v>8</v>
      </c>
      <c r="Y8" s="32" t="str">
        <f>MATHS!K10</f>
        <v>WEAK PASS</v>
      </c>
      <c r="Z8" s="32">
        <f>SCIENCE!E10</f>
        <v>37.5</v>
      </c>
      <c r="AA8" s="32">
        <f>SCIENCE!G10</f>
        <v>0</v>
      </c>
      <c r="AB8" s="32">
        <f>SCIENCE!H10</f>
        <v>37.5</v>
      </c>
      <c r="AC8" s="32">
        <f>SCIENCE!I10</f>
        <v>24</v>
      </c>
      <c r="AD8" s="32">
        <f>SCIENCE!J10</f>
        <v>8</v>
      </c>
      <c r="AE8" s="32" t="str">
        <f>SCIENCE!K10</f>
        <v>WEAK PASS</v>
      </c>
      <c r="AF8" s="32">
        <f>SOCIAL!E10</f>
        <v>37.5</v>
      </c>
      <c r="AG8" s="32">
        <f>SOCIAL!G10</f>
        <v>0</v>
      </c>
      <c r="AH8" s="32">
        <f>SOCIAL!H10</f>
        <v>37.5</v>
      </c>
      <c r="AI8" s="32">
        <f>SOCIAL!I10</f>
        <v>24</v>
      </c>
      <c r="AJ8" s="32">
        <f>SOCIAL!J10</f>
        <v>8</v>
      </c>
      <c r="AK8" s="32" t="str">
        <f>SOCIAL!K10</f>
        <v>WEAK PASS</v>
      </c>
      <c r="AL8" s="32">
        <f>'R.M.E'!E10</f>
        <v>0</v>
      </c>
      <c r="AM8" s="32">
        <f>'R.M.E'!G10</f>
        <v>0</v>
      </c>
      <c r="AN8" s="32">
        <f>'R.M.E'!H10</f>
        <v>0</v>
      </c>
      <c r="AO8" s="32">
        <f>'R.M.E'!I10</f>
        <v>2</v>
      </c>
      <c r="AP8" s="32">
        <f>'R.M.E'!J10</f>
        <v>9</v>
      </c>
      <c r="AQ8" s="32" t="str">
        <f>'R.M.E'!K10</f>
        <v>FAIL</v>
      </c>
      <c r="AR8" s="32">
        <f>COMPUTING!E10</f>
        <v>0</v>
      </c>
      <c r="AS8" s="32">
        <f>COMPUTING!G10</f>
        <v>0</v>
      </c>
      <c r="AT8" s="32">
        <f>COMPUTING!H10</f>
        <v>0</v>
      </c>
      <c r="AU8" s="32">
        <f>COMPUTING!I10</f>
        <v>2</v>
      </c>
      <c r="AV8" s="32">
        <f>COMPUTING!J10</f>
        <v>9</v>
      </c>
      <c r="AW8" s="32" t="str">
        <f>COMPUTING!K10</f>
        <v>FAIL</v>
      </c>
      <c r="AX8" s="32">
        <f>CAD!E10</f>
        <v>0</v>
      </c>
      <c r="AY8" s="32">
        <f>CAD!G10</f>
        <v>0</v>
      </c>
      <c r="AZ8" s="32">
        <f>CAD!H10</f>
        <v>0</v>
      </c>
      <c r="BA8" s="32">
        <f>CAD!I10</f>
        <v>2</v>
      </c>
      <c r="BB8" s="32">
        <f>CAD!J10</f>
        <v>9</v>
      </c>
      <c r="BC8" s="32" t="str">
        <f>CAD!K10</f>
        <v>FAIL</v>
      </c>
      <c r="BD8" s="32">
        <f>CAREER!E10</f>
        <v>0</v>
      </c>
      <c r="BE8" s="32">
        <f>CAREER!G10</f>
        <v>0</v>
      </c>
      <c r="BF8" s="32">
        <f>CAREER!H10</f>
        <v>0</v>
      </c>
      <c r="BG8" s="32">
        <f>CAREER!I10</f>
        <v>2</v>
      </c>
      <c r="BH8" s="32">
        <f>CAREER!J10</f>
        <v>9</v>
      </c>
      <c r="BI8" s="32" t="str">
        <f>CAREER!K10</f>
        <v>FAIL</v>
      </c>
      <c r="BJ8" s="32">
        <f>FANTE!E10</f>
        <v>0</v>
      </c>
      <c r="BK8" s="32">
        <f>FANTE!G10</f>
        <v>0</v>
      </c>
      <c r="BL8" s="32">
        <f>FANTE!H10</f>
        <v>0</v>
      </c>
      <c r="BM8" s="32">
        <f>FANTE!I10</f>
        <v>2</v>
      </c>
      <c r="BN8" s="32">
        <f>FANTE!J10</f>
        <v>9</v>
      </c>
      <c r="BO8" s="32" t="str">
        <f>FANTE!K10</f>
        <v>FAIL</v>
      </c>
      <c r="BP8" s="66">
        <f t="shared" si="3"/>
        <v>150</v>
      </c>
      <c r="BQ8" s="83" t="str">
        <f t="shared" si="4"/>
        <v>24th</v>
      </c>
      <c r="BR8" s="32" t="str">
        <f>VLOOKUP(BP8,'GRADING SYSTEM'!$A$1:$P$10,2)</f>
        <v>Below average, must buck up.</v>
      </c>
      <c r="BS8" s="32" t="str">
        <f>VLOOKUP(BP8,'GRADING SYSTEM'!$A$1:$P$10,10)</f>
        <v>Below average, you must work hard. There is the need for parental support.</v>
      </c>
      <c r="BT8" s="32" t="str">
        <f t="shared" si="0"/>
        <v>ASARE JACOB</v>
      </c>
      <c r="BU8" s="32"/>
      <c r="BV8" s="32"/>
      <c r="BW8" s="32">
        <f t="shared" si="5"/>
        <v>8</v>
      </c>
      <c r="BX8" s="32">
        <f t="shared" si="6"/>
        <v>8</v>
      </c>
      <c r="BY8" s="32">
        <f t="shared" si="7"/>
        <v>8</v>
      </c>
      <c r="BZ8" s="32">
        <f t="shared" si="8"/>
        <v>8</v>
      </c>
      <c r="CA8" s="32">
        <f t="shared" si="9"/>
        <v>9</v>
      </c>
      <c r="CB8" s="32">
        <f t="shared" si="10"/>
        <v>9</v>
      </c>
      <c r="CC8" s="32">
        <f>CAD!J10</f>
        <v>9</v>
      </c>
      <c r="CD8" s="32">
        <f t="shared" si="11"/>
        <v>9</v>
      </c>
      <c r="CE8" s="32">
        <f t="shared" si="12"/>
        <v>9</v>
      </c>
      <c r="CF8" s="67">
        <f>SUM((SMALL(BW8:CE8,{1,2,3,5,5,6})))</f>
        <v>51</v>
      </c>
      <c r="CG8" s="32" t="s">
        <v>138</v>
      </c>
      <c r="CH8" s="82" t="s">
        <v>152</v>
      </c>
      <c r="CI8" s="82" t="s">
        <v>177</v>
      </c>
      <c r="CJ8" s="32" t="str">
        <f t="shared" si="1"/>
        <v>ASARE JACOB</v>
      </c>
      <c r="CK8" s="33"/>
      <c r="CL8" s="33"/>
      <c r="CM8" s="33" t="s">
        <v>113</v>
      </c>
      <c r="CN8" s="33"/>
      <c r="CO8" s="33" t="s">
        <v>113</v>
      </c>
      <c r="CP8" s="33"/>
      <c r="CQ8" s="33"/>
      <c r="CR8" s="33"/>
      <c r="CS8" s="33" t="s">
        <v>113</v>
      </c>
      <c r="CT8" s="33"/>
      <c r="CU8" s="33"/>
      <c r="CV8" s="33"/>
      <c r="CW8" s="33"/>
      <c r="CX8" s="33" t="s">
        <v>113</v>
      </c>
      <c r="CY8" s="33"/>
      <c r="CZ8" s="33"/>
      <c r="DA8" s="33"/>
      <c r="DB8" s="33" t="s">
        <v>113</v>
      </c>
      <c r="DC8" s="33"/>
      <c r="DD8" s="33"/>
      <c r="DE8" s="33"/>
      <c r="DF8" s="33"/>
      <c r="DG8" s="33" t="s">
        <v>113</v>
      </c>
      <c r="DH8" s="33"/>
    </row>
    <row r="9" spans="1:115" ht="27" customHeight="1" thickBot="1" x14ac:dyDescent="0.3">
      <c r="A9" s="63" t="str">
        <f>'Info List'!A10</f>
        <v>BHS9008</v>
      </c>
      <c r="B9" s="64" t="str">
        <f>'Info List'!B10</f>
        <v>BAAH JOSEPHINE KONADU</v>
      </c>
      <c r="C9" s="35">
        <f>'Info List'!C10</f>
        <v>9</v>
      </c>
      <c r="D9" s="41">
        <f>'Info List'!$D$3</f>
        <v>29</v>
      </c>
      <c r="E9" s="32" t="s">
        <v>135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f t="shared" si="2"/>
        <v>0</v>
      </c>
      <c r="L9" s="32">
        <f>'Info List'!F10</f>
        <v>0</v>
      </c>
      <c r="M9" s="34">
        <f>'Info List'!$G$3</f>
        <v>0</v>
      </c>
      <c r="N9" s="32">
        <f>ENGLISH!E11</f>
        <v>38</v>
      </c>
      <c r="O9" s="32">
        <f>ENGLISH!G11</f>
        <v>0</v>
      </c>
      <c r="P9" s="32">
        <f>ENGLISH!H11</f>
        <v>38</v>
      </c>
      <c r="Q9" s="32">
        <f>ENGLISH!I11</f>
        <v>23</v>
      </c>
      <c r="R9" s="32">
        <f>ENGLISH!J11</f>
        <v>8</v>
      </c>
      <c r="S9" s="32" t="str">
        <f>ENGLISH!K11</f>
        <v>WEAK PASS</v>
      </c>
      <c r="T9" s="32">
        <f>MATHS!E11</f>
        <v>38</v>
      </c>
      <c r="U9" s="32">
        <f>MATHS!G11</f>
        <v>0</v>
      </c>
      <c r="V9" s="32">
        <f>MATHS!H11</f>
        <v>38</v>
      </c>
      <c r="W9" s="32">
        <f>MATHS!I11</f>
        <v>23</v>
      </c>
      <c r="X9" s="32">
        <f>MATHS!J11</f>
        <v>8</v>
      </c>
      <c r="Y9" s="32" t="str">
        <f>MATHS!K11</f>
        <v>WEAK PASS</v>
      </c>
      <c r="Z9" s="32">
        <f>SCIENCE!E11</f>
        <v>38</v>
      </c>
      <c r="AA9" s="32">
        <f>SCIENCE!G11</f>
        <v>0</v>
      </c>
      <c r="AB9" s="32">
        <f>SCIENCE!H11</f>
        <v>38</v>
      </c>
      <c r="AC9" s="32">
        <f>SCIENCE!I11</f>
        <v>23</v>
      </c>
      <c r="AD9" s="32">
        <f>SCIENCE!J11</f>
        <v>8</v>
      </c>
      <c r="AE9" s="32" t="str">
        <f>SCIENCE!K11</f>
        <v>WEAK PASS</v>
      </c>
      <c r="AF9" s="32">
        <f>SOCIAL!E11</f>
        <v>38</v>
      </c>
      <c r="AG9" s="32">
        <f>SOCIAL!G11</f>
        <v>0</v>
      </c>
      <c r="AH9" s="32">
        <f>SOCIAL!H11</f>
        <v>38</v>
      </c>
      <c r="AI9" s="32">
        <f>SOCIAL!I11</f>
        <v>23</v>
      </c>
      <c r="AJ9" s="32">
        <f>SOCIAL!J11</f>
        <v>8</v>
      </c>
      <c r="AK9" s="32" t="str">
        <f>SOCIAL!K11</f>
        <v>WEAK PASS</v>
      </c>
      <c r="AL9" s="32">
        <f>'R.M.E'!E11</f>
        <v>0</v>
      </c>
      <c r="AM9" s="32">
        <f>'R.M.E'!G11</f>
        <v>0</v>
      </c>
      <c r="AN9" s="32">
        <f>'R.M.E'!H11</f>
        <v>0</v>
      </c>
      <c r="AO9" s="32">
        <f>'R.M.E'!I11</f>
        <v>2</v>
      </c>
      <c r="AP9" s="32">
        <f>'R.M.E'!J11</f>
        <v>9</v>
      </c>
      <c r="AQ9" s="32" t="str">
        <f>'R.M.E'!K11</f>
        <v>FAIL</v>
      </c>
      <c r="AR9" s="32">
        <f>COMPUTING!E11</f>
        <v>0</v>
      </c>
      <c r="AS9" s="32">
        <f>COMPUTING!G11</f>
        <v>0</v>
      </c>
      <c r="AT9" s="32">
        <f>COMPUTING!H11</f>
        <v>0</v>
      </c>
      <c r="AU9" s="32">
        <f>COMPUTING!I11</f>
        <v>2</v>
      </c>
      <c r="AV9" s="32">
        <f>COMPUTING!J11</f>
        <v>9</v>
      </c>
      <c r="AW9" s="32" t="str">
        <f>COMPUTING!K11</f>
        <v>FAIL</v>
      </c>
      <c r="AX9" s="32">
        <f>CAD!E11</f>
        <v>0</v>
      </c>
      <c r="AY9" s="32">
        <f>CAD!G11</f>
        <v>0</v>
      </c>
      <c r="AZ9" s="32">
        <f>CAD!H11</f>
        <v>0</v>
      </c>
      <c r="BA9" s="32">
        <f>CAD!I11</f>
        <v>2</v>
      </c>
      <c r="BB9" s="32">
        <f>CAD!J11</f>
        <v>9</v>
      </c>
      <c r="BC9" s="32" t="str">
        <f>CAD!K11</f>
        <v>FAIL</v>
      </c>
      <c r="BD9" s="32">
        <f>CAREER!E11</f>
        <v>0</v>
      </c>
      <c r="BE9" s="32">
        <f>CAREER!G11</f>
        <v>0</v>
      </c>
      <c r="BF9" s="32">
        <f>CAREER!H11</f>
        <v>0</v>
      </c>
      <c r="BG9" s="32">
        <f>CAREER!I11</f>
        <v>2</v>
      </c>
      <c r="BH9" s="32">
        <f>CAREER!J11</f>
        <v>9</v>
      </c>
      <c r="BI9" s="32" t="str">
        <f>CAREER!K11</f>
        <v>FAIL</v>
      </c>
      <c r="BJ9" s="32">
        <f>FANTE!E11</f>
        <v>0</v>
      </c>
      <c r="BK9" s="32">
        <f>FANTE!G11</f>
        <v>0</v>
      </c>
      <c r="BL9" s="32">
        <f>FANTE!H11</f>
        <v>0</v>
      </c>
      <c r="BM9" s="32">
        <f>FANTE!I11</f>
        <v>2</v>
      </c>
      <c r="BN9" s="32">
        <f>FANTE!J11</f>
        <v>9</v>
      </c>
      <c r="BO9" s="32" t="str">
        <f>FANTE!K11</f>
        <v>FAIL</v>
      </c>
      <c r="BP9" s="66">
        <f t="shared" si="3"/>
        <v>152</v>
      </c>
      <c r="BQ9" s="83" t="str">
        <f t="shared" si="4"/>
        <v>23rd</v>
      </c>
      <c r="BR9" s="32" t="str">
        <f>VLOOKUP(BP9,'GRADING SYSTEM'!$A$1:$P$10,2)</f>
        <v>Below average, must buck up.</v>
      </c>
      <c r="BS9" s="32" t="str">
        <f>VLOOKUP(BP9,'GRADING SYSTEM'!$A$1:$P$10,10)</f>
        <v>Below average, you must work hard. There is the need for parental support.</v>
      </c>
      <c r="BT9" s="32" t="str">
        <f t="shared" si="0"/>
        <v>BAAH JOSEPHINE KONADU</v>
      </c>
      <c r="BU9" s="32"/>
      <c r="BV9" s="32"/>
      <c r="BW9" s="32">
        <f t="shared" si="5"/>
        <v>8</v>
      </c>
      <c r="BX9" s="32">
        <f t="shared" si="6"/>
        <v>8</v>
      </c>
      <c r="BY9" s="32">
        <f t="shared" si="7"/>
        <v>8</v>
      </c>
      <c r="BZ9" s="32">
        <f t="shared" si="8"/>
        <v>8</v>
      </c>
      <c r="CA9" s="32">
        <f t="shared" si="9"/>
        <v>9</v>
      </c>
      <c r="CB9" s="32">
        <f t="shared" si="10"/>
        <v>9</v>
      </c>
      <c r="CC9" s="32">
        <f>CAD!J11</f>
        <v>9</v>
      </c>
      <c r="CD9" s="32">
        <f t="shared" si="11"/>
        <v>9</v>
      </c>
      <c r="CE9" s="32">
        <f t="shared" si="12"/>
        <v>9</v>
      </c>
      <c r="CF9" s="67">
        <f>SUM((SMALL(BW9:CE9,{1,2,3,5,5,6})))</f>
        <v>51</v>
      </c>
      <c r="CG9" s="32" t="s">
        <v>138</v>
      </c>
      <c r="CH9" s="82" t="s">
        <v>128</v>
      </c>
      <c r="CI9" s="82" t="s">
        <v>178</v>
      </c>
      <c r="CJ9" s="32" t="str">
        <f t="shared" si="1"/>
        <v>BAAH JOSEPHINE KONADU</v>
      </c>
      <c r="CK9" s="33" t="s">
        <v>113</v>
      </c>
      <c r="CL9" s="33"/>
      <c r="CM9" s="33"/>
      <c r="CN9" s="33"/>
      <c r="CO9" s="33"/>
      <c r="CP9" s="33" t="s">
        <v>113</v>
      </c>
      <c r="CQ9" s="33"/>
      <c r="CR9" s="33"/>
      <c r="CS9" s="33" t="s">
        <v>113</v>
      </c>
      <c r="CT9" s="33"/>
      <c r="CU9" s="33"/>
      <c r="CV9" s="33"/>
      <c r="CW9" s="33"/>
      <c r="CX9" s="33" t="s">
        <v>113</v>
      </c>
      <c r="CY9" s="33"/>
      <c r="CZ9" s="33"/>
      <c r="DA9" s="33" t="s">
        <v>113</v>
      </c>
      <c r="DB9" s="33"/>
      <c r="DC9" s="33"/>
      <c r="DD9" s="33"/>
      <c r="DE9" s="33"/>
      <c r="DF9" s="33"/>
      <c r="DG9" s="33" t="s">
        <v>113</v>
      </c>
      <c r="DH9" s="33"/>
    </row>
    <row r="10" spans="1:115" ht="27" customHeight="1" thickBot="1" x14ac:dyDescent="0.3">
      <c r="A10" s="63" t="str">
        <f>'Info List'!A11</f>
        <v>BHS9009</v>
      </c>
      <c r="B10" s="64" t="str">
        <f>'Info List'!B11</f>
        <v>BAIDOO MIDRED</v>
      </c>
      <c r="C10" s="35">
        <f>'Info List'!C11</f>
        <v>9</v>
      </c>
      <c r="D10" s="41">
        <f>'Info List'!$D$3</f>
        <v>29</v>
      </c>
      <c r="E10" s="32" t="s">
        <v>135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f t="shared" si="2"/>
        <v>0</v>
      </c>
      <c r="L10" s="32">
        <f>'Info List'!F11</f>
        <v>0</v>
      </c>
      <c r="M10" s="34">
        <f>'Info List'!$G$3</f>
        <v>0</v>
      </c>
      <c r="N10" s="32">
        <f>ENGLISH!E12</f>
        <v>38.5</v>
      </c>
      <c r="O10" s="32">
        <f>ENGLISH!G12</f>
        <v>0</v>
      </c>
      <c r="P10" s="32">
        <f>ENGLISH!H12</f>
        <v>38.5</v>
      </c>
      <c r="Q10" s="32">
        <f>ENGLISH!I12</f>
        <v>22</v>
      </c>
      <c r="R10" s="32">
        <f>ENGLISH!J12</f>
        <v>8</v>
      </c>
      <c r="S10" s="32" t="str">
        <f>ENGLISH!K12</f>
        <v>WEAK PASS</v>
      </c>
      <c r="T10" s="32">
        <f>MATHS!E12</f>
        <v>38.5</v>
      </c>
      <c r="U10" s="32">
        <f>MATHS!G12</f>
        <v>0</v>
      </c>
      <c r="V10" s="32">
        <f>MATHS!H12</f>
        <v>38.5</v>
      </c>
      <c r="W10" s="32">
        <f>MATHS!I12</f>
        <v>22</v>
      </c>
      <c r="X10" s="32">
        <f>MATHS!J12</f>
        <v>8</v>
      </c>
      <c r="Y10" s="32" t="str">
        <f>MATHS!K12</f>
        <v>WEAK PASS</v>
      </c>
      <c r="Z10" s="32">
        <f>SCIENCE!E12</f>
        <v>38.5</v>
      </c>
      <c r="AA10" s="32">
        <f>SCIENCE!G12</f>
        <v>0</v>
      </c>
      <c r="AB10" s="32">
        <f>SCIENCE!H12</f>
        <v>38.5</v>
      </c>
      <c r="AC10" s="32">
        <f>SCIENCE!I12</f>
        <v>22</v>
      </c>
      <c r="AD10" s="32">
        <f>SCIENCE!J12</f>
        <v>8</v>
      </c>
      <c r="AE10" s="32" t="str">
        <f>SCIENCE!K12</f>
        <v>WEAK PASS</v>
      </c>
      <c r="AF10" s="32">
        <f>SOCIAL!E12</f>
        <v>38.5</v>
      </c>
      <c r="AG10" s="32">
        <f>SOCIAL!G12</f>
        <v>0</v>
      </c>
      <c r="AH10" s="32">
        <f>SOCIAL!H12</f>
        <v>38.5</v>
      </c>
      <c r="AI10" s="32">
        <f>SOCIAL!I12</f>
        <v>22</v>
      </c>
      <c r="AJ10" s="32">
        <f>SOCIAL!J12</f>
        <v>8</v>
      </c>
      <c r="AK10" s="32" t="str">
        <f>SOCIAL!K12</f>
        <v>WEAK PASS</v>
      </c>
      <c r="AL10" s="32">
        <f>'R.M.E'!E12</f>
        <v>0</v>
      </c>
      <c r="AM10" s="32">
        <f>'R.M.E'!G12</f>
        <v>0</v>
      </c>
      <c r="AN10" s="32">
        <f>'R.M.E'!H12</f>
        <v>0</v>
      </c>
      <c r="AO10" s="32">
        <f>'R.M.E'!I12</f>
        <v>2</v>
      </c>
      <c r="AP10" s="32">
        <f>'R.M.E'!J12</f>
        <v>9</v>
      </c>
      <c r="AQ10" s="32" t="str">
        <f>'R.M.E'!K12</f>
        <v>FAIL</v>
      </c>
      <c r="AR10" s="32">
        <f>COMPUTING!E12</f>
        <v>0</v>
      </c>
      <c r="AS10" s="32">
        <f>COMPUTING!G12</f>
        <v>0</v>
      </c>
      <c r="AT10" s="32">
        <f>COMPUTING!H12</f>
        <v>0</v>
      </c>
      <c r="AU10" s="32">
        <f>COMPUTING!I12</f>
        <v>2</v>
      </c>
      <c r="AV10" s="32">
        <f>COMPUTING!J12</f>
        <v>9</v>
      </c>
      <c r="AW10" s="32" t="str">
        <f>COMPUTING!K12</f>
        <v>FAIL</v>
      </c>
      <c r="AX10" s="32">
        <f>CAD!E12</f>
        <v>0</v>
      </c>
      <c r="AY10" s="32">
        <f>CAD!G12</f>
        <v>0</v>
      </c>
      <c r="AZ10" s="32">
        <f>CAD!H12</f>
        <v>0</v>
      </c>
      <c r="BA10" s="32">
        <f>CAD!I12</f>
        <v>2</v>
      </c>
      <c r="BB10" s="32">
        <f>CAD!J12</f>
        <v>9</v>
      </c>
      <c r="BC10" s="32" t="str">
        <f>CAD!K12</f>
        <v>FAIL</v>
      </c>
      <c r="BD10" s="32">
        <f>CAREER!E12</f>
        <v>0</v>
      </c>
      <c r="BE10" s="32">
        <f>CAREER!G12</f>
        <v>0</v>
      </c>
      <c r="BF10" s="32">
        <f>CAREER!H12</f>
        <v>0</v>
      </c>
      <c r="BG10" s="32">
        <f>CAREER!I12</f>
        <v>2</v>
      </c>
      <c r="BH10" s="32">
        <f>CAREER!J12</f>
        <v>9</v>
      </c>
      <c r="BI10" s="32" t="str">
        <f>CAREER!K12</f>
        <v>FAIL</v>
      </c>
      <c r="BJ10" s="32">
        <f>FANTE!E12</f>
        <v>0</v>
      </c>
      <c r="BK10" s="32">
        <f>FANTE!G12</f>
        <v>0</v>
      </c>
      <c r="BL10" s="32">
        <f>FANTE!H12</f>
        <v>0</v>
      </c>
      <c r="BM10" s="32">
        <f>FANTE!I12</f>
        <v>2</v>
      </c>
      <c r="BN10" s="32">
        <f>FANTE!J12</f>
        <v>9</v>
      </c>
      <c r="BO10" s="32" t="str">
        <f>FANTE!K12</f>
        <v>FAIL</v>
      </c>
      <c r="BP10" s="66">
        <f t="shared" si="3"/>
        <v>154</v>
      </c>
      <c r="BQ10" s="83" t="str">
        <f t="shared" si="4"/>
        <v>22nd</v>
      </c>
      <c r="BR10" s="32" t="str">
        <f>VLOOKUP(BP10,'GRADING SYSTEM'!$A$1:$P$10,2)</f>
        <v>Below average, must buck up.</v>
      </c>
      <c r="BS10" s="32" t="str">
        <f>VLOOKUP(BP10,'GRADING SYSTEM'!$A$1:$P$10,10)</f>
        <v>Below average, you must work hard. There is the need for parental support.</v>
      </c>
      <c r="BT10" s="32" t="str">
        <f t="shared" si="0"/>
        <v>BAIDOO MIDRED</v>
      </c>
      <c r="BU10" s="32"/>
      <c r="BV10" s="32"/>
      <c r="BW10" s="32">
        <f t="shared" si="5"/>
        <v>8</v>
      </c>
      <c r="BX10" s="32">
        <f t="shared" si="6"/>
        <v>8</v>
      </c>
      <c r="BY10" s="32">
        <f t="shared" si="7"/>
        <v>8</v>
      </c>
      <c r="BZ10" s="32">
        <f t="shared" si="8"/>
        <v>8</v>
      </c>
      <c r="CA10" s="32">
        <f t="shared" si="9"/>
        <v>9</v>
      </c>
      <c r="CB10" s="32">
        <f t="shared" si="10"/>
        <v>9</v>
      </c>
      <c r="CC10" s="32">
        <f>CAD!J12</f>
        <v>9</v>
      </c>
      <c r="CD10" s="32">
        <f t="shared" si="11"/>
        <v>9</v>
      </c>
      <c r="CE10" s="32">
        <f t="shared" si="12"/>
        <v>9</v>
      </c>
      <c r="CF10" s="67">
        <f>SUM((SMALL(BW10:CE10,{1,2,3,5,5,6})))</f>
        <v>51</v>
      </c>
      <c r="CG10" s="32" t="s">
        <v>138</v>
      </c>
      <c r="CH10" s="82" t="s">
        <v>153</v>
      </c>
      <c r="CI10" s="82" t="s">
        <v>179</v>
      </c>
      <c r="CJ10" s="32" t="str">
        <f t="shared" si="1"/>
        <v>BAIDOO MIDRED</v>
      </c>
      <c r="CK10" s="33" t="s">
        <v>113</v>
      </c>
      <c r="CL10" s="33"/>
      <c r="CM10" s="33"/>
      <c r="CN10" s="33"/>
      <c r="CO10" s="33"/>
      <c r="CP10" s="33" t="s">
        <v>113</v>
      </c>
      <c r="CQ10" s="33"/>
      <c r="CR10" s="33"/>
      <c r="CS10" s="33" t="s">
        <v>113</v>
      </c>
      <c r="CT10" s="33"/>
      <c r="CU10" s="33"/>
      <c r="CV10" s="33"/>
      <c r="CW10" s="33"/>
      <c r="CX10" s="33" t="s">
        <v>113</v>
      </c>
      <c r="CY10" s="33"/>
      <c r="CZ10" s="33"/>
      <c r="DA10" s="33" t="s">
        <v>113</v>
      </c>
      <c r="DB10" s="33"/>
      <c r="DC10" s="33"/>
      <c r="DD10" s="33"/>
      <c r="DE10" s="33"/>
      <c r="DF10" s="33"/>
      <c r="DG10" s="33" t="s">
        <v>113</v>
      </c>
      <c r="DH10" s="33"/>
    </row>
    <row r="11" spans="1:115" ht="26.25" customHeight="1" thickBot="1" x14ac:dyDescent="0.3">
      <c r="A11" s="63" t="str">
        <f>'Info List'!A12</f>
        <v>BHS9010</v>
      </c>
      <c r="B11" s="64" t="str">
        <f>'Info List'!B12</f>
        <v>BOAKYE KELVIN OWUSU</v>
      </c>
      <c r="C11" s="35">
        <f>'Info List'!C12</f>
        <v>9</v>
      </c>
      <c r="D11" s="41">
        <f>'Info List'!$D$3</f>
        <v>29</v>
      </c>
      <c r="E11" s="32" t="s">
        <v>135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f t="shared" si="2"/>
        <v>0</v>
      </c>
      <c r="L11" s="32">
        <f>'Info List'!F12</f>
        <v>0</v>
      </c>
      <c r="M11" s="34">
        <f>'Info List'!$G$3</f>
        <v>0</v>
      </c>
      <c r="N11" s="32">
        <f>ENGLISH!E13</f>
        <v>39</v>
      </c>
      <c r="O11" s="32">
        <f>ENGLISH!G13</f>
        <v>0</v>
      </c>
      <c r="P11" s="32">
        <f>ENGLISH!H13</f>
        <v>39</v>
      </c>
      <c r="Q11" s="32">
        <f>ENGLISH!I13</f>
        <v>21</v>
      </c>
      <c r="R11" s="32">
        <f>ENGLISH!J13</f>
        <v>8</v>
      </c>
      <c r="S11" s="32" t="str">
        <f>ENGLISH!K13</f>
        <v>WEAK PASS</v>
      </c>
      <c r="T11" s="32">
        <f>MATHS!E13</f>
        <v>39</v>
      </c>
      <c r="U11" s="32">
        <f>MATHS!G13</f>
        <v>0</v>
      </c>
      <c r="V11" s="32">
        <f>MATHS!H13</f>
        <v>39</v>
      </c>
      <c r="W11" s="32">
        <f>MATHS!I13</f>
        <v>21</v>
      </c>
      <c r="X11" s="32">
        <f>MATHS!J13</f>
        <v>8</v>
      </c>
      <c r="Y11" s="32" t="str">
        <f>MATHS!K13</f>
        <v>WEAK PASS</v>
      </c>
      <c r="Z11" s="32">
        <f>SCIENCE!E13</f>
        <v>39</v>
      </c>
      <c r="AA11" s="32">
        <f>SCIENCE!G13</f>
        <v>0</v>
      </c>
      <c r="AB11" s="32">
        <f>SCIENCE!H13</f>
        <v>39</v>
      </c>
      <c r="AC11" s="32">
        <f>SCIENCE!I13</f>
        <v>21</v>
      </c>
      <c r="AD11" s="32">
        <f>SCIENCE!J13</f>
        <v>8</v>
      </c>
      <c r="AE11" s="32" t="str">
        <f>SCIENCE!K13</f>
        <v>WEAK PASS</v>
      </c>
      <c r="AF11" s="32">
        <f>SOCIAL!E13</f>
        <v>39</v>
      </c>
      <c r="AG11" s="32">
        <f>SOCIAL!G13</f>
        <v>0</v>
      </c>
      <c r="AH11" s="32">
        <f>SOCIAL!H13</f>
        <v>39</v>
      </c>
      <c r="AI11" s="32">
        <f>SOCIAL!I13</f>
        <v>21</v>
      </c>
      <c r="AJ11" s="32">
        <f>SOCIAL!J13</f>
        <v>8</v>
      </c>
      <c r="AK11" s="32" t="str">
        <f>SOCIAL!K13</f>
        <v>WEAK PASS</v>
      </c>
      <c r="AL11" s="32">
        <f>'R.M.E'!E13</f>
        <v>0</v>
      </c>
      <c r="AM11" s="32">
        <f>'R.M.E'!G13</f>
        <v>0</v>
      </c>
      <c r="AN11" s="32">
        <f>'R.M.E'!H13</f>
        <v>0</v>
      </c>
      <c r="AO11" s="32">
        <f>'R.M.E'!I13</f>
        <v>2</v>
      </c>
      <c r="AP11" s="32">
        <f>'R.M.E'!J13</f>
        <v>9</v>
      </c>
      <c r="AQ11" s="32" t="str">
        <f>'R.M.E'!K13</f>
        <v>FAIL</v>
      </c>
      <c r="AR11" s="32">
        <f>COMPUTING!E13</f>
        <v>0</v>
      </c>
      <c r="AS11" s="32">
        <f>COMPUTING!G13</f>
        <v>0</v>
      </c>
      <c r="AT11" s="32">
        <f>COMPUTING!H13</f>
        <v>0</v>
      </c>
      <c r="AU11" s="32">
        <f>COMPUTING!I13</f>
        <v>2</v>
      </c>
      <c r="AV11" s="32">
        <f>COMPUTING!J13</f>
        <v>9</v>
      </c>
      <c r="AW11" s="32" t="str">
        <f>COMPUTING!K13</f>
        <v>FAIL</v>
      </c>
      <c r="AX11" s="32">
        <f>CAD!E13</f>
        <v>0</v>
      </c>
      <c r="AY11" s="32">
        <f>CAD!G13</f>
        <v>0</v>
      </c>
      <c r="AZ11" s="32">
        <f>CAD!H13</f>
        <v>0</v>
      </c>
      <c r="BA11" s="32">
        <f>CAD!I13</f>
        <v>2</v>
      </c>
      <c r="BB11" s="32">
        <f>CAD!J13</f>
        <v>9</v>
      </c>
      <c r="BC11" s="32" t="str">
        <f>CAD!K13</f>
        <v>FAIL</v>
      </c>
      <c r="BD11" s="32">
        <f>CAREER!E13</f>
        <v>0</v>
      </c>
      <c r="BE11" s="32">
        <f>CAREER!G13</f>
        <v>0</v>
      </c>
      <c r="BF11" s="32">
        <f>CAREER!H13</f>
        <v>0</v>
      </c>
      <c r="BG11" s="32">
        <f>CAREER!I13</f>
        <v>2</v>
      </c>
      <c r="BH11" s="32">
        <f>CAREER!J13</f>
        <v>9</v>
      </c>
      <c r="BI11" s="32" t="str">
        <f>CAREER!K13</f>
        <v>FAIL</v>
      </c>
      <c r="BJ11" s="32">
        <f>FANTE!E13</f>
        <v>0</v>
      </c>
      <c r="BK11" s="32">
        <f>FANTE!G13</f>
        <v>0</v>
      </c>
      <c r="BL11" s="32">
        <f>FANTE!H13</f>
        <v>0</v>
      </c>
      <c r="BM11" s="32">
        <f>FANTE!I13</f>
        <v>2</v>
      </c>
      <c r="BN11" s="32">
        <f>FANTE!J13</f>
        <v>9</v>
      </c>
      <c r="BO11" s="32" t="str">
        <f>FANTE!K13</f>
        <v>FAIL</v>
      </c>
      <c r="BP11" s="66">
        <f t="shared" si="3"/>
        <v>156</v>
      </c>
      <c r="BQ11" s="83" t="str">
        <f t="shared" si="4"/>
        <v>21st</v>
      </c>
      <c r="BR11" s="32" t="str">
        <f>VLOOKUP(BP11,'GRADING SYSTEM'!$A$1:$P$10,2)</f>
        <v>Below average, must buck up.</v>
      </c>
      <c r="BS11" s="32" t="str">
        <f>VLOOKUP(BP11,'GRADING SYSTEM'!$A$1:$P$10,10)</f>
        <v>Below average, you must work hard. There is the need for parental support.</v>
      </c>
      <c r="BT11" s="32" t="str">
        <f t="shared" si="0"/>
        <v>BOAKYE KELVIN OWUSU</v>
      </c>
      <c r="BU11" s="32"/>
      <c r="BV11" s="32"/>
      <c r="BW11" s="32">
        <f t="shared" si="5"/>
        <v>8</v>
      </c>
      <c r="BX11" s="32">
        <f t="shared" si="6"/>
        <v>8</v>
      </c>
      <c r="BY11" s="32">
        <f t="shared" si="7"/>
        <v>8</v>
      </c>
      <c r="BZ11" s="32">
        <f t="shared" si="8"/>
        <v>8</v>
      </c>
      <c r="CA11" s="32">
        <f t="shared" si="9"/>
        <v>9</v>
      </c>
      <c r="CB11" s="32">
        <f t="shared" si="10"/>
        <v>9</v>
      </c>
      <c r="CC11" s="32">
        <f>CAD!J13</f>
        <v>9</v>
      </c>
      <c r="CD11" s="32">
        <f t="shared" si="11"/>
        <v>9</v>
      </c>
      <c r="CE11" s="32">
        <f t="shared" si="12"/>
        <v>9</v>
      </c>
      <c r="CF11" s="67">
        <f>SUM((SMALL(BW11:CE11,{1,2,3,5,5,6})))</f>
        <v>51</v>
      </c>
      <c r="CG11" s="32" t="s">
        <v>138</v>
      </c>
      <c r="CH11" s="82" t="s">
        <v>154</v>
      </c>
      <c r="CI11" s="82" t="s">
        <v>180</v>
      </c>
      <c r="CJ11" s="32" t="str">
        <f t="shared" si="1"/>
        <v>BOAKYE KELVIN OWUSU</v>
      </c>
      <c r="CK11" s="33"/>
      <c r="CL11" s="33"/>
      <c r="CM11" s="33"/>
      <c r="CN11" s="33" t="s">
        <v>113</v>
      </c>
      <c r="CO11" s="33"/>
      <c r="CP11" s="33" t="s">
        <v>113</v>
      </c>
      <c r="CQ11" s="33"/>
      <c r="CR11" s="33"/>
      <c r="CS11" s="33" t="s">
        <v>113</v>
      </c>
      <c r="CT11" s="33"/>
      <c r="CU11" s="33"/>
      <c r="CV11" s="33"/>
      <c r="CW11" s="33"/>
      <c r="CX11" s="33" t="s">
        <v>113</v>
      </c>
      <c r="CY11" s="33"/>
      <c r="CZ11" s="33"/>
      <c r="DA11" s="33"/>
      <c r="DB11" s="33" t="s">
        <v>113</v>
      </c>
      <c r="DC11" s="33"/>
      <c r="DD11" s="33"/>
      <c r="DE11" s="33"/>
      <c r="DF11" s="33"/>
      <c r="DG11" s="33" t="s">
        <v>113</v>
      </c>
      <c r="DH11" s="33"/>
    </row>
    <row r="12" spans="1:115" ht="26.25" customHeight="1" thickBot="1" x14ac:dyDescent="0.3">
      <c r="A12" s="63" t="str">
        <f>'Info List'!A13</f>
        <v>BHS9011</v>
      </c>
      <c r="B12" s="64" t="str">
        <f>'Info List'!B13</f>
        <v>BOATENG NICHOLAS KELVIN</v>
      </c>
      <c r="C12" s="35">
        <f>'Info List'!C13</f>
        <v>9</v>
      </c>
      <c r="D12" s="41">
        <f>'Info List'!$D$3</f>
        <v>29</v>
      </c>
      <c r="E12" s="32" t="s">
        <v>135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f t="shared" si="2"/>
        <v>0</v>
      </c>
      <c r="L12" s="32">
        <f>'Info List'!F13</f>
        <v>0</v>
      </c>
      <c r="M12" s="34">
        <f>'Info List'!$G$3</f>
        <v>0</v>
      </c>
      <c r="N12" s="32">
        <f>ENGLISH!E14</f>
        <v>39.5</v>
      </c>
      <c r="O12" s="32">
        <f>ENGLISH!G14</f>
        <v>0</v>
      </c>
      <c r="P12" s="32">
        <f>ENGLISH!H14</f>
        <v>39.5</v>
      </c>
      <c r="Q12" s="32">
        <f>ENGLISH!I14</f>
        <v>20</v>
      </c>
      <c r="R12" s="32">
        <f>ENGLISH!J14</f>
        <v>8</v>
      </c>
      <c r="S12" s="32" t="str">
        <f>ENGLISH!K14</f>
        <v>WEAK PASS</v>
      </c>
      <c r="T12" s="32">
        <f>MATHS!E14</f>
        <v>39.5</v>
      </c>
      <c r="U12" s="32">
        <f>MATHS!G14</f>
        <v>0</v>
      </c>
      <c r="V12" s="32">
        <f>MATHS!H14</f>
        <v>39.5</v>
      </c>
      <c r="W12" s="32">
        <f>MATHS!I14</f>
        <v>20</v>
      </c>
      <c r="X12" s="32">
        <f>MATHS!J14</f>
        <v>8</v>
      </c>
      <c r="Y12" s="32" t="str">
        <f>MATHS!K14</f>
        <v>WEAK PASS</v>
      </c>
      <c r="Z12" s="32">
        <f>SCIENCE!E14</f>
        <v>39.5</v>
      </c>
      <c r="AA12" s="32">
        <f>SCIENCE!G14</f>
        <v>0</v>
      </c>
      <c r="AB12" s="32">
        <f>SCIENCE!H14</f>
        <v>39.5</v>
      </c>
      <c r="AC12" s="32">
        <f>SCIENCE!I14</f>
        <v>20</v>
      </c>
      <c r="AD12" s="32">
        <f>SCIENCE!J14</f>
        <v>8</v>
      </c>
      <c r="AE12" s="32" t="str">
        <f>SCIENCE!K14</f>
        <v>WEAK PASS</v>
      </c>
      <c r="AF12" s="32">
        <f>SOCIAL!E14</f>
        <v>39.5</v>
      </c>
      <c r="AG12" s="32">
        <f>SOCIAL!G14</f>
        <v>0</v>
      </c>
      <c r="AH12" s="32">
        <f>SOCIAL!H14</f>
        <v>39.5</v>
      </c>
      <c r="AI12" s="32">
        <f>SOCIAL!I14</f>
        <v>20</v>
      </c>
      <c r="AJ12" s="32">
        <f>SOCIAL!J14</f>
        <v>8</v>
      </c>
      <c r="AK12" s="32" t="str">
        <f>SOCIAL!K14</f>
        <v>WEAK PASS</v>
      </c>
      <c r="AL12" s="32">
        <f>'R.M.E'!E14</f>
        <v>0</v>
      </c>
      <c r="AM12" s="32">
        <f>'R.M.E'!G14</f>
        <v>0</v>
      </c>
      <c r="AN12" s="32">
        <f>'R.M.E'!H14</f>
        <v>0</v>
      </c>
      <c r="AO12" s="32">
        <f>'R.M.E'!I14</f>
        <v>2</v>
      </c>
      <c r="AP12" s="32">
        <f>'R.M.E'!J14</f>
        <v>9</v>
      </c>
      <c r="AQ12" s="32" t="str">
        <f>'R.M.E'!K14</f>
        <v>FAIL</v>
      </c>
      <c r="AR12" s="32">
        <f>COMPUTING!E14</f>
        <v>0</v>
      </c>
      <c r="AS12" s="32">
        <f>COMPUTING!G14</f>
        <v>0</v>
      </c>
      <c r="AT12" s="32">
        <f>COMPUTING!H14</f>
        <v>0</v>
      </c>
      <c r="AU12" s="32">
        <f>COMPUTING!I14</f>
        <v>2</v>
      </c>
      <c r="AV12" s="32">
        <f>COMPUTING!J14</f>
        <v>9</v>
      </c>
      <c r="AW12" s="32" t="str">
        <f>COMPUTING!K14</f>
        <v>FAIL</v>
      </c>
      <c r="AX12" s="32">
        <f>CAD!E14</f>
        <v>0</v>
      </c>
      <c r="AY12" s="32">
        <f>CAD!G14</f>
        <v>0</v>
      </c>
      <c r="AZ12" s="32">
        <f>CAD!H14</f>
        <v>0</v>
      </c>
      <c r="BA12" s="32">
        <f>CAD!I14</f>
        <v>2</v>
      </c>
      <c r="BB12" s="32">
        <f>CAD!J14</f>
        <v>9</v>
      </c>
      <c r="BC12" s="32" t="str">
        <f>CAD!K14</f>
        <v>FAIL</v>
      </c>
      <c r="BD12" s="32">
        <f>CAREER!E14</f>
        <v>0</v>
      </c>
      <c r="BE12" s="32">
        <f>CAREER!G14</f>
        <v>0</v>
      </c>
      <c r="BF12" s="32">
        <f>CAREER!H14</f>
        <v>0</v>
      </c>
      <c r="BG12" s="32">
        <f>CAREER!I14</f>
        <v>2</v>
      </c>
      <c r="BH12" s="32">
        <f>CAREER!J14</f>
        <v>9</v>
      </c>
      <c r="BI12" s="32" t="str">
        <f>CAREER!K14</f>
        <v>FAIL</v>
      </c>
      <c r="BJ12" s="32">
        <f>FANTE!E14</f>
        <v>0</v>
      </c>
      <c r="BK12" s="32">
        <f>FANTE!G14</f>
        <v>0</v>
      </c>
      <c r="BL12" s="32">
        <f>FANTE!H14</f>
        <v>0</v>
      </c>
      <c r="BM12" s="32">
        <f>FANTE!I14</f>
        <v>2</v>
      </c>
      <c r="BN12" s="32">
        <f>FANTE!J14</f>
        <v>9</v>
      </c>
      <c r="BO12" s="32" t="str">
        <f>FANTE!K14</f>
        <v>FAIL</v>
      </c>
      <c r="BP12" s="66">
        <f t="shared" si="3"/>
        <v>158</v>
      </c>
      <c r="BQ12" s="83" t="str">
        <f t="shared" si="4"/>
        <v>20th</v>
      </c>
      <c r="BR12" s="32" t="str">
        <f>VLOOKUP(BP12,'GRADING SYSTEM'!$A$1:$P$10,2)</f>
        <v>Below average, must buck up.</v>
      </c>
      <c r="BS12" s="32" t="str">
        <f>VLOOKUP(BP12,'GRADING SYSTEM'!$A$1:$P$10,10)</f>
        <v>Below average, you must work hard. There is the need for parental support.</v>
      </c>
      <c r="BT12" s="32" t="str">
        <f t="shared" si="0"/>
        <v>BOATENG NICHOLAS KELVIN</v>
      </c>
      <c r="BU12" s="32"/>
      <c r="BV12" s="32"/>
      <c r="BW12" s="32">
        <f t="shared" si="5"/>
        <v>8</v>
      </c>
      <c r="BX12" s="32">
        <f t="shared" si="6"/>
        <v>8</v>
      </c>
      <c r="BY12" s="32">
        <f t="shared" si="7"/>
        <v>8</v>
      </c>
      <c r="BZ12" s="32">
        <f t="shared" si="8"/>
        <v>8</v>
      </c>
      <c r="CA12" s="32">
        <f t="shared" si="9"/>
        <v>9</v>
      </c>
      <c r="CB12" s="32">
        <f t="shared" si="10"/>
        <v>9</v>
      </c>
      <c r="CC12" s="32">
        <f>CAD!J14</f>
        <v>9</v>
      </c>
      <c r="CD12" s="32">
        <f t="shared" si="11"/>
        <v>9</v>
      </c>
      <c r="CE12" s="32">
        <f t="shared" si="12"/>
        <v>9</v>
      </c>
      <c r="CF12" s="67">
        <f>SUM((SMALL(BW12:CE12,{1,2,3,5,5,6})))</f>
        <v>51</v>
      </c>
      <c r="CG12" s="32" t="s">
        <v>138</v>
      </c>
      <c r="CH12" s="82" t="s">
        <v>155</v>
      </c>
      <c r="CI12" s="82" t="s">
        <v>181</v>
      </c>
      <c r="CJ12" s="32" t="str">
        <f t="shared" si="1"/>
        <v>BOATENG NICHOLAS KELVIN</v>
      </c>
      <c r="CK12" s="33" t="s">
        <v>113</v>
      </c>
      <c r="CL12" s="33"/>
      <c r="CM12" s="33"/>
      <c r="CN12" s="33"/>
      <c r="CO12" s="33"/>
      <c r="CP12" s="33" t="s">
        <v>113</v>
      </c>
      <c r="CQ12" s="33"/>
      <c r="CR12" s="33"/>
      <c r="CS12" s="33" t="s">
        <v>113</v>
      </c>
      <c r="CT12" s="33"/>
      <c r="CU12" s="33"/>
      <c r="CV12" s="33"/>
      <c r="CW12" s="33"/>
      <c r="CX12" s="33" t="s">
        <v>113</v>
      </c>
      <c r="CY12" s="33"/>
      <c r="CZ12" s="33"/>
      <c r="DA12" s="33"/>
      <c r="DB12" s="33"/>
      <c r="DC12" s="33" t="s">
        <v>113</v>
      </c>
      <c r="DD12" s="33"/>
      <c r="DE12" s="33"/>
      <c r="DF12" s="33"/>
      <c r="DG12" s="33" t="s">
        <v>113</v>
      </c>
      <c r="DH12" s="33"/>
    </row>
    <row r="13" spans="1:115" ht="23.25" customHeight="1" thickBot="1" x14ac:dyDescent="0.3">
      <c r="A13" s="63" t="str">
        <f>'Info List'!A14</f>
        <v>BHS9012</v>
      </c>
      <c r="B13" s="64" t="str">
        <f>'Info List'!B14</f>
        <v>CHARKITEY JOSEPH TETTEY EMEKOH</v>
      </c>
      <c r="C13" s="35">
        <f>'Info List'!C14</f>
        <v>9</v>
      </c>
      <c r="D13" s="41">
        <f>'Info List'!$D$3</f>
        <v>29</v>
      </c>
      <c r="E13" s="32" t="s">
        <v>135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f t="shared" si="2"/>
        <v>0</v>
      </c>
      <c r="L13" s="32">
        <f>'Info List'!F14</f>
        <v>0</v>
      </c>
      <c r="M13" s="34">
        <f>'Info List'!$G$3</f>
        <v>0</v>
      </c>
      <c r="N13" s="32">
        <f>ENGLISH!E15</f>
        <v>40</v>
      </c>
      <c r="O13" s="32">
        <f>ENGLISH!G15</f>
        <v>0</v>
      </c>
      <c r="P13" s="32">
        <f>ENGLISH!H15</f>
        <v>40</v>
      </c>
      <c r="Q13" s="32">
        <f>ENGLISH!I15</f>
        <v>19</v>
      </c>
      <c r="R13" s="32">
        <f>ENGLISH!J15</f>
        <v>7</v>
      </c>
      <c r="S13" s="32" t="str">
        <f>ENGLISH!K15</f>
        <v>PASS</v>
      </c>
      <c r="T13" s="32">
        <f>MATHS!E15</f>
        <v>40</v>
      </c>
      <c r="U13" s="32">
        <f>MATHS!G15</f>
        <v>0</v>
      </c>
      <c r="V13" s="32">
        <f>MATHS!H15</f>
        <v>40</v>
      </c>
      <c r="W13" s="32">
        <f>MATHS!I15</f>
        <v>19</v>
      </c>
      <c r="X13" s="32">
        <f>MATHS!J15</f>
        <v>7</v>
      </c>
      <c r="Y13" s="32" t="str">
        <f>MATHS!K15</f>
        <v>PASS</v>
      </c>
      <c r="Z13" s="32">
        <f>SCIENCE!E15</f>
        <v>40</v>
      </c>
      <c r="AA13" s="32">
        <f>SCIENCE!G15</f>
        <v>0</v>
      </c>
      <c r="AB13" s="32">
        <f>SCIENCE!H15</f>
        <v>40</v>
      </c>
      <c r="AC13" s="32">
        <f>SCIENCE!I15</f>
        <v>19</v>
      </c>
      <c r="AD13" s="32">
        <f>SCIENCE!J15</f>
        <v>7</v>
      </c>
      <c r="AE13" s="32" t="str">
        <f>SCIENCE!K15</f>
        <v>PASS</v>
      </c>
      <c r="AF13" s="32">
        <f>SOCIAL!E15</f>
        <v>40</v>
      </c>
      <c r="AG13" s="32">
        <f>SOCIAL!G15</f>
        <v>0</v>
      </c>
      <c r="AH13" s="32">
        <f>SOCIAL!H15</f>
        <v>40</v>
      </c>
      <c r="AI13" s="32">
        <f>SOCIAL!I15</f>
        <v>19</v>
      </c>
      <c r="AJ13" s="32">
        <f>SOCIAL!J15</f>
        <v>7</v>
      </c>
      <c r="AK13" s="32" t="str">
        <f>SOCIAL!K15</f>
        <v>PASS</v>
      </c>
      <c r="AL13" s="32">
        <f>'R.M.E'!E15</f>
        <v>0</v>
      </c>
      <c r="AM13" s="32">
        <f>'R.M.E'!G15</f>
        <v>0</v>
      </c>
      <c r="AN13" s="32">
        <f>'R.M.E'!H15</f>
        <v>0</v>
      </c>
      <c r="AO13" s="32">
        <f>'R.M.E'!I15</f>
        <v>2</v>
      </c>
      <c r="AP13" s="32">
        <f>'R.M.E'!J15</f>
        <v>9</v>
      </c>
      <c r="AQ13" s="32" t="str">
        <f>'R.M.E'!K15</f>
        <v>FAIL</v>
      </c>
      <c r="AR13" s="32">
        <f>COMPUTING!E15</f>
        <v>0</v>
      </c>
      <c r="AS13" s="32">
        <f>COMPUTING!G15</f>
        <v>0</v>
      </c>
      <c r="AT13" s="32">
        <f>COMPUTING!H15</f>
        <v>0</v>
      </c>
      <c r="AU13" s="32">
        <f>COMPUTING!I15</f>
        <v>2</v>
      </c>
      <c r="AV13" s="32">
        <f>COMPUTING!J15</f>
        <v>9</v>
      </c>
      <c r="AW13" s="32" t="str">
        <f>COMPUTING!K15</f>
        <v>FAIL</v>
      </c>
      <c r="AX13" s="32">
        <f>CAD!E15</f>
        <v>0</v>
      </c>
      <c r="AY13" s="32">
        <f>CAD!G15</f>
        <v>0</v>
      </c>
      <c r="AZ13" s="32">
        <f>CAD!H15</f>
        <v>0</v>
      </c>
      <c r="BA13" s="32">
        <f>CAD!I15</f>
        <v>2</v>
      </c>
      <c r="BB13" s="32">
        <f>CAD!J15</f>
        <v>9</v>
      </c>
      <c r="BC13" s="32" t="str">
        <f>CAD!K15</f>
        <v>FAIL</v>
      </c>
      <c r="BD13" s="32">
        <f>CAREER!E15</f>
        <v>0</v>
      </c>
      <c r="BE13" s="32">
        <f>CAREER!G15</f>
        <v>0</v>
      </c>
      <c r="BF13" s="32">
        <f>CAREER!H15</f>
        <v>0</v>
      </c>
      <c r="BG13" s="32">
        <f>CAREER!I15</f>
        <v>2</v>
      </c>
      <c r="BH13" s="32">
        <f>CAREER!J15</f>
        <v>9</v>
      </c>
      <c r="BI13" s="32" t="str">
        <f>CAREER!K15</f>
        <v>FAIL</v>
      </c>
      <c r="BJ13" s="32">
        <f>FANTE!E15</f>
        <v>0</v>
      </c>
      <c r="BK13" s="32">
        <f>FANTE!G15</f>
        <v>0</v>
      </c>
      <c r="BL13" s="32">
        <f>FANTE!H15</f>
        <v>0</v>
      </c>
      <c r="BM13" s="32">
        <f>FANTE!I15</f>
        <v>2</v>
      </c>
      <c r="BN13" s="32">
        <f>FANTE!J15</f>
        <v>9</v>
      </c>
      <c r="BO13" s="32" t="str">
        <f>FANTE!K15</f>
        <v>FAIL</v>
      </c>
      <c r="BP13" s="66">
        <f t="shared" si="3"/>
        <v>160</v>
      </c>
      <c r="BQ13" s="83" t="str">
        <f t="shared" si="4"/>
        <v>19th</v>
      </c>
      <c r="BR13" s="32" t="str">
        <f>VLOOKUP(BP13,'GRADING SYSTEM'!$A$1:$P$10,2)</f>
        <v>Below average, must buck up.</v>
      </c>
      <c r="BS13" s="32" t="str">
        <f>VLOOKUP(BP13,'GRADING SYSTEM'!$A$1:$P$10,10)</f>
        <v>Below average, you must work hard. There is the need for parental support.</v>
      </c>
      <c r="BT13" s="32" t="str">
        <f t="shared" si="0"/>
        <v>CHARKITEY JOSEPH TETTEY EMEKOH</v>
      </c>
      <c r="BU13" s="32"/>
      <c r="BV13" s="32"/>
      <c r="BW13" s="32">
        <f t="shared" si="5"/>
        <v>7</v>
      </c>
      <c r="BX13" s="32">
        <f t="shared" si="6"/>
        <v>7</v>
      </c>
      <c r="BY13" s="32">
        <f t="shared" si="7"/>
        <v>7</v>
      </c>
      <c r="BZ13" s="32">
        <f t="shared" si="8"/>
        <v>7</v>
      </c>
      <c r="CA13" s="32">
        <f t="shared" si="9"/>
        <v>9</v>
      </c>
      <c r="CB13" s="32">
        <f t="shared" si="10"/>
        <v>9</v>
      </c>
      <c r="CC13" s="32">
        <f>CAD!J15</f>
        <v>9</v>
      </c>
      <c r="CD13" s="32">
        <f t="shared" si="11"/>
        <v>9</v>
      </c>
      <c r="CE13" s="32">
        <f t="shared" si="12"/>
        <v>9</v>
      </c>
      <c r="CF13" s="67">
        <f>SUM((SMALL(BW13:CE13,{1,2,3,5,5,6})))</f>
        <v>48</v>
      </c>
      <c r="CG13" s="32" t="s">
        <v>138</v>
      </c>
      <c r="CH13" s="82" t="s">
        <v>156</v>
      </c>
      <c r="CI13" s="82" t="s">
        <v>182</v>
      </c>
      <c r="CJ13" s="32" t="str">
        <f t="shared" si="1"/>
        <v>CHARKITEY JOSEPH TETTEY EMEKOH</v>
      </c>
      <c r="CK13" s="33" t="s">
        <v>113</v>
      </c>
      <c r="CL13" s="33"/>
      <c r="CM13" s="33"/>
      <c r="CN13" s="33"/>
      <c r="CO13" s="33" t="s">
        <v>113</v>
      </c>
      <c r="CP13" s="33"/>
      <c r="CQ13" s="33"/>
      <c r="CR13" s="33"/>
      <c r="CS13" s="33" t="s">
        <v>113</v>
      </c>
      <c r="CT13" s="33"/>
      <c r="CU13" s="33"/>
      <c r="CV13" s="33"/>
      <c r="CW13" s="33"/>
      <c r="CX13" s="33" t="s">
        <v>113</v>
      </c>
      <c r="CY13" s="33"/>
      <c r="CZ13" s="33"/>
      <c r="DA13" s="33"/>
      <c r="DB13" s="33" t="s">
        <v>113</v>
      </c>
      <c r="DC13" s="33"/>
      <c r="DD13" s="33"/>
      <c r="DE13" s="33" t="s">
        <v>113</v>
      </c>
      <c r="DF13" s="33"/>
      <c r="DG13" s="33"/>
      <c r="DH13" s="33"/>
    </row>
    <row r="14" spans="1:115" ht="21.75" customHeight="1" thickBot="1" x14ac:dyDescent="0.3">
      <c r="A14" s="63" t="str">
        <f>'Info List'!A15</f>
        <v>BHS9013</v>
      </c>
      <c r="B14" s="64" t="str">
        <f>'Info List'!B15</f>
        <v>DANKWAH AMA JANEL</v>
      </c>
      <c r="C14" s="35">
        <f>'Info List'!C15</f>
        <v>9</v>
      </c>
      <c r="D14" s="41">
        <f>'Info List'!$D$3</f>
        <v>29</v>
      </c>
      <c r="E14" s="32" t="s">
        <v>135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f t="shared" si="2"/>
        <v>0</v>
      </c>
      <c r="L14" s="32">
        <f>'Info List'!F15</f>
        <v>0</v>
      </c>
      <c r="M14" s="34">
        <f>'Info List'!$G$3</f>
        <v>0</v>
      </c>
      <c r="N14" s="32">
        <f>ENGLISH!E16</f>
        <v>40.5</v>
      </c>
      <c r="O14" s="32">
        <f>ENGLISH!G16</f>
        <v>0</v>
      </c>
      <c r="P14" s="32">
        <f>ENGLISH!H16</f>
        <v>40.5</v>
      </c>
      <c r="Q14" s="32">
        <f>ENGLISH!I16</f>
        <v>18</v>
      </c>
      <c r="R14" s="32">
        <f>ENGLISH!J16</f>
        <v>7</v>
      </c>
      <c r="S14" s="32" t="str">
        <f>ENGLISH!K16</f>
        <v>PASS</v>
      </c>
      <c r="T14" s="32">
        <f>MATHS!E16</f>
        <v>40.5</v>
      </c>
      <c r="U14" s="32">
        <f>MATHS!G16</f>
        <v>0</v>
      </c>
      <c r="V14" s="32">
        <f>MATHS!H16</f>
        <v>40.5</v>
      </c>
      <c r="W14" s="32">
        <f>MATHS!I16</f>
        <v>18</v>
      </c>
      <c r="X14" s="32">
        <f>MATHS!J16</f>
        <v>7</v>
      </c>
      <c r="Y14" s="32" t="str">
        <f>MATHS!K16</f>
        <v>PASS</v>
      </c>
      <c r="Z14" s="32">
        <f>SCIENCE!E16</f>
        <v>40.5</v>
      </c>
      <c r="AA14" s="32">
        <f>SCIENCE!G16</f>
        <v>0</v>
      </c>
      <c r="AB14" s="32">
        <f>SCIENCE!H16</f>
        <v>40.5</v>
      </c>
      <c r="AC14" s="32">
        <f>SCIENCE!I16</f>
        <v>18</v>
      </c>
      <c r="AD14" s="32">
        <f>SCIENCE!J16</f>
        <v>7</v>
      </c>
      <c r="AE14" s="32" t="str">
        <f>SCIENCE!K16</f>
        <v>PASS</v>
      </c>
      <c r="AF14" s="32">
        <f>SOCIAL!E16</f>
        <v>40.5</v>
      </c>
      <c r="AG14" s="32">
        <f>SOCIAL!G16</f>
        <v>0</v>
      </c>
      <c r="AH14" s="32">
        <f>SOCIAL!H16</f>
        <v>40.5</v>
      </c>
      <c r="AI14" s="32">
        <f>SOCIAL!I16</f>
        <v>18</v>
      </c>
      <c r="AJ14" s="32">
        <f>SOCIAL!J16</f>
        <v>7</v>
      </c>
      <c r="AK14" s="32" t="str">
        <f>SOCIAL!K16</f>
        <v>PASS</v>
      </c>
      <c r="AL14" s="32">
        <f>'R.M.E'!E16</f>
        <v>0</v>
      </c>
      <c r="AM14" s="32">
        <f>'R.M.E'!G16</f>
        <v>0</v>
      </c>
      <c r="AN14" s="32">
        <f>'R.M.E'!H16</f>
        <v>0</v>
      </c>
      <c r="AO14" s="32">
        <f>'R.M.E'!I16</f>
        <v>2</v>
      </c>
      <c r="AP14" s="32">
        <f>'R.M.E'!J16</f>
        <v>9</v>
      </c>
      <c r="AQ14" s="32" t="str">
        <f>'R.M.E'!K16</f>
        <v>FAIL</v>
      </c>
      <c r="AR14" s="32">
        <f>COMPUTING!E16</f>
        <v>0</v>
      </c>
      <c r="AS14" s="32">
        <f>COMPUTING!G16</f>
        <v>0</v>
      </c>
      <c r="AT14" s="32">
        <f>COMPUTING!H16</f>
        <v>0</v>
      </c>
      <c r="AU14" s="32">
        <f>COMPUTING!I16</f>
        <v>2</v>
      </c>
      <c r="AV14" s="32">
        <f>COMPUTING!J16</f>
        <v>9</v>
      </c>
      <c r="AW14" s="32" t="str">
        <f>COMPUTING!K16</f>
        <v>FAIL</v>
      </c>
      <c r="AX14" s="32">
        <f>CAD!E16</f>
        <v>0</v>
      </c>
      <c r="AY14" s="32">
        <f>CAD!G16</f>
        <v>0</v>
      </c>
      <c r="AZ14" s="32">
        <f>CAD!H16</f>
        <v>0</v>
      </c>
      <c r="BA14" s="32">
        <f>CAD!I16</f>
        <v>2</v>
      </c>
      <c r="BB14" s="32">
        <f>CAD!J16</f>
        <v>9</v>
      </c>
      <c r="BC14" s="32" t="str">
        <f>CAD!K16</f>
        <v>FAIL</v>
      </c>
      <c r="BD14" s="32">
        <f>CAREER!E16</f>
        <v>0</v>
      </c>
      <c r="BE14" s="32">
        <f>CAREER!G16</f>
        <v>0</v>
      </c>
      <c r="BF14" s="32">
        <f>CAREER!H16</f>
        <v>0</v>
      </c>
      <c r="BG14" s="32">
        <f>CAREER!I16</f>
        <v>2</v>
      </c>
      <c r="BH14" s="32">
        <f>CAREER!J16</f>
        <v>9</v>
      </c>
      <c r="BI14" s="32" t="str">
        <f>CAREER!K16</f>
        <v>FAIL</v>
      </c>
      <c r="BJ14" s="32">
        <f>FANTE!E16</f>
        <v>0</v>
      </c>
      <c r="BK14" s="32">
        <f>FANTE!G16</f>
        <v>0</v>
      </c>
      <c r="BL14" s="32">
        <f>FANTE!H16</f>
        <v>0</v>
      </c>
      <c r="BM14" s="32">
        <f>FANTE!I16</f>
        <v>2</v>
      </c>
      <c r="BN14" s="32">
        <f>FANTE!J16</f>
        <v>9</v>
      </c>
      <c r="BO14" s="32" t="str">
        <f>FANTE!K16</f>
        <v>FAIL</v>
      </c>
      <c r="BP14" s="66">
        <f t="shared" si="3"/>
        <v>162</v>
      </c>
      <c r="BQ14" s="83" t="str">
        <f t="shared" si="4"/>
        <v>18th</v>
      </c>
      <c r="BR14" s="32" t="str">
        <f>VLOOKUP(BP14,'GRADING SYSTEM'!$A$1:$P$10,2)</f>
        <v>Below average, must buck up.</v>
      </c>
      <c r="BS14" s="32" t="str">
        <f>VLOOKUP(BP14,'GRADING SYSTEM'!$A$1:$P$10,10)</f>
        <v>Below average, you must work hard. There is the need for parental support.</v>
      </c>
      <c r="BT14" s="32" t="str">
        <f t="shared" si="0"/>
        <v>DANKWAH AMA JANEL</v>
      </c>
      <c r="BU14" s="32"/>
      <c r="BV14" s="32"/>
      <c r="BW14" s="32">
        <f t="shared" si="5"/>
        <v>7</v>
      </c>
      <c r="BX14" s="32">
        <f t="shared" si="6"/>
        <v>7</v>
      </c>
      <c r="BY14" s="32">
        <f t="shared" si="7"/>
        <v>7</v>
      </c>
      <c r="BZ14" s="32">
        <f t="shared" si="8"/>
        <v>7</v>
      </c>
      <c r="CA14" s="32">
        <f t="shared" si="9"/>
        <v>9</v>
      </c>
      <c r="CB14" s="32">
        <f t="shared" si="10"/>
        <v>9</v>
      </c>
      <c r="CC14" s="32">
        <f>CAD!J16</f>
        <v>9</v>
      </c>
      <c r="CD14" s="32">
        <f t="shared" si="11"/>
        <v>9</v>
      </c>
      <c r="CE14" s="32">
        <f t="shared" si="12"/>
        <v>9</v>
      </c>
      <c r="CF14" s="67">
        <f>SUM((SMALL(BW14:CE14,{1,2,3,5,5,6})))</f>
        <v>48</v>
      </c>
      <c r="CG14" s="32" t="s">
        <v>138</v>
      </c>
      <c r="CH14" s="82" t="s">
        <v>157</v>
      </c>
      <c r="CI14" s="82" t="s">
        <v>183</v>
      </c>
      <c r="CJ14" s="32" t="str">
        <f t="shared" si="1"/>
        <v>DANKWAH AMA JANEL</v>
      </c>
      <c r="CK14" s="33"/>
      <c r="CL14" s="33" t="s">
        <v>113</v>
      </c>
      <c r="CM14" s="33"/>
      <c r="CN14" s="33"/>
      <c r="CO14" s="33"/>
      <c r="CP14" s="33"/>
      <c r="CQ14" s="33" t="s">
        <v>113</v>
      </c>
      <c r="CR14" s="33"/>
      <c r="CS14" s="33" t="s">
        <v>113</v>
      </c>
      <c r="CT14" s="33"/>
      <c r="CU14" s="33"/>
      <c r="CV14" s="33"/>
      <c r="CW14" s="33"/>
      <c r="CX14" s="33" t="s">
        <v>113</v>
      </c>
      <c r="CY14" s="33"/>
      <c r="CZ14" s="33"/>
      <c r="DA14" s="33"/>
      <c r="DB14" s="33" t="s">
        <v>113</v>
      </c>
      <c r="DC14" s="33"/>
      <c r="DD14" s="33"/>
      <c r="DE14" s="33"/>
      <c r="DF14" s="33"/>
      <c r="DG14" s="33" t="s">
        <v>113</v>
      </c>
      <c r="DH14" s="33"/>
    </row>
    <row r="15" spans="1:115" ht="22.5" customHeight="1" thickBot="1" x14ac:dyDescent="0.3">
      <c r="A15" s="63" t="str">
        <f>'Info List'!A16</f>
        <v>BHS9014</v>
      </c>
      <c r="B15" s="64" t="str">
        <f>'Info List'!B16</f>
        <v>DANKWAH SHANTEL</v>
      </c>
      <c r="C15" s="35">
        <f>'Info List'!C16</f>
        <v>9</v>
      </c>
      <c r="D15" s="41">
        <f>'Info List'!$D$3</f>
        <v>29</v>
      </c>
      <c r="E15" s="32" t="s">
        <v>135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f t="shared" si="2"/>
        <v>0</v>
      </c>
      <c r="L15" s="32">
        <f>'Info List'!F16</f>
        <v>0</v>
      </c>
      <c r="M15" s="34">
        <f>'Info List'!$G$3</f>
        <v>0</v>
      </c>
      <c r="N15" s="32">
        <f>ENGLISH!E17</f>
        <v>41</v>
      </c>
      <c r="O15" s="32">
        <f>ENGLISH!G17</f>
        <v>0</v>
      </c>
      <c r="P15" s="32">
        <f>ENGLISH!H17</f>
        <v>41</v>
      </c>
      <c r="Q15" s="32">
        <f>ENGLISH!I17</f>
        <v>17</v>
      </c>
      <c r="R15" s="32">
        <f>ENGLISH!J17</f>
        <v>7</v>
      </c>
      <c r="S15" s="32" t="str">
        <f>ENGLISH!K17</f>
        <v>PASS</v>
      </c>
      <c r="T15" s="32">
        <f>MATHS!E17</f>
        <v>41</v>
      </c>
      <c r="U15" s="32">
        <f>MATHS!G17</f>
        <v>0</v>
      </c>
      <c r="V15" s="32">
        <f>MATHS!H17</f>
        <v>41</v>
      </c>
      <c r="W15" s="32">
        <f>MATHS!I17</f>
        <v>17</v>
      </c>
      <c r="X15" s="32">
        <f>MATHS!J17</f>
        <v>7</v>
      </c>
      <c r="Y15" s="32" t="str">
        <f>MATHS!K17</f>
        <v>PASS</v>
      </c>
      <c r="Z15" s="32">
        <f>SCIENCE!E17</f>
        <v>41</v>
      </c>
      <c r="AA15" s="32">
        <f>SCIENCE!G17</f>
        <v>0</v>
      </c>
      <c r="AB15" s="32">
        <f>SCIENCE!H17</f>
        <v>41</v>
      </c>
      <c r="AC15" s="32">
        <f>SCIENCE!I17</f>
        <v>17</v>
      </c>
      <c r="AD15" s="32">
        <f>SCIENCE!J17</f>
        <v>7</v>
      </c>
      <c r="AE15" s="32" t="str">
        <f>SCIENCE!K17</f>
        <v>PASS</v>
      </c>
      <c r="AF15" s="32">
        <f>SOCIAL!E17</f>
        <v>41</v>
      </c>
      <c r="AG15" s="32">
        <f>SOCIAL!G17</f>
        <v>0</v>
      </c>
      <c r="AH15" s="32">
        <f>SOCIAL!H17</f>
        <v>41</v>
      </c>
      <c r="AI15" s="32">
        <f>SOCIAL!I17</f>
        <v>17</v>
      </c>
      <c r="AJ15" s="32">
        <f>SOCIAL!J17</f>
        <v>7</v>
      </c>
      <c r="AK15" s="32" t="str">
        <f>SOCIAL!K17</f>
        <v>PASS</v>
      </c>
      <c r="AL15" s="32">
        <f>'R.M.E'!E17</f>
        <v>0</v>
      </c>
      <c r="AM15" s="32">
        <f>'R.M.E'!G17</f>
        <v>0</v>
      </c>
      <c r="AN15" s="32">
        <f>'R.M.E'!H17</f>
        <v>0</v>
      </c>
      <c r="AO15" s="32">
        <f>'R.M.E'!I17</f>
        <v>2</v>
      </c>
      <c r="AP15" s="32">
        <f>'R.M.E'!J17</f>
        <v>9</v>
      </c>
      <c r="AQ15" s="32" t="str">
        <f>'R.M.E'!K17</f>
        <v>FAIL</v>
      </c>
      <c r="AR15" s="32">
        <f>COMPUTING!E17</f>
        <v>0</v>
      </c>
      <c r="AS15" s="32">
        <f>COMPUTING!G17</f>
        <v>0</v>
      </c>
      <c r="AT15" s="32">
        <f>COMPUTING!H17</f>
        <v>0</v>
      </c>
      <c r="AU15" s="32">
        <f>COMPUTING!I17</f>
        <v>2</v>
      </c>
      <c r="AV15" s="32">
        <f>COMPUTING!J17</f>
        <v>9</v>
      </c>
      <c r="AW15" s="32" t="str">
        <f>COMPUTING!K17</f>
        <v>FAIL</v>
      </c>
      <c r="AX15" s="32">
        <f>CAD!E17</f>
        <v>0</v>
      </c>
      <c r="AY15" s="32">
        <f>CAD!G17</f>
        <v>0</v>
      </c>
      <c r="AZ15" s="32">
        <f>CAD!H17</f>
        <v>0</v>
      </c>
      <c r="BA15" s="32">
        <f>CAD!I17</f>
        <v>2</v>
      </c>
      <c r="BB15" s="32">
        <f>CAD!J17</f>
        <v>9</v>
      </c>
      <c r="BC15" s="32" t="str">
        <f>CAD!K17</f>
        <v>FAIL</v>
      </c>
      <c r="BD15" s="32">
        <f>CAREER!E17</f>
        <v>0</v>
      </c>
      <c r="BE15" s="32">
        <f>CAREER!G17</f>
        <v>0</v>
      </c>
      <c r="BF15" s="32">
        <f>CAREER!H17</f>
        <v>0</v>
      </c>
      <c r="BG15" s="32">
        <f>CAREER!I17</f>
        <v>2</v>
      </c>
      <c r="BH15" s="32">
        <f>CAREER!J17</f>
        <v>9</v>
      </c>
      <c r="BI15" s="32" t="str">
        <f>CAREER!K17</f>
        <v>FAIL</v>
      </c>
      <c r="BJ15" s="32">
        <f>FANTE!E17</f>
        <v>0</v>
      </c>
      <c r="BK15" s="32">
        <f>FANTE!G17</f>
        <v>0</v>
      </c>
      <c r="BL15" s="32">
        <f>FANTE!H17</f>
        <v>0</v>
      </c>
      <c r="BM15" s="32">
        <f>FANTE!I17</f>
        <v>2</v>
      </c>
      <c r="BN15" s="32">
        <f>FANTE!J17</f>
        <v>9</v>
      </c>
      <c r="BO15" s="32" t="str">
        <f>FANTE!K17</f>
        <v>FAIL</v>
      </c>
      <c r="BP15" s="66">
        <f t="shared" si="3"/>
        <v>164</v>
      </c>
      <c r="BQ15" s="83" t="str">
        <f t="shared" si="4"/>
        <v>17th</v>
      </c>
      <c r="BR15" s="32" t="str">
        <f>VLOOKUP(BP15,'GRADING SYSTEM'!$A$1:$P$10,2)</f>
        <v>Below average, must buck up.</v>
      </c>
      <c r="BS15" s="32" t="str">
        <f>VLOOKUP(BP15,'GRADING SYSTEM'!$A$1:$P$10,10)</f>
        <v>Below average, you must work hard. There is the need for parental support.</v>
      </c>
      <c r="BT15" s="32" t="str">
        <f t="shared" si="0"/>
        <v>DANKWAH SHANTEL</v>
      </c>
      <c r="BU15" s="32"/>
      <c r="BV15" s="32"/>
      <c r="BW15" s="32">
        <f t="shared" si="5"/>
        <v>7</v>
      </c>
      <c r="BX15" s="32">
        <f t="shared" si="6"/>
        <v>7</v>
      </c>
      <c r="BY15" s="32">
        <f t="shared" si="7"/>
        <v>7</v>
      </c>
      <c r="BZ15" s="32">
        <f t="shared" si="8"/>
        <v>7</v>
      </c>
      <c r="CA15" s="32">
        <f t="shared" si="9"/>
        <v>9</v>
      </c>
      <c r="CB15" s="32">
        <f t="shared" si="10"/>
        <v>9</v>
      </c>
      <c r="CC15" s="32">
        <f>CAD!J17</f>
        <v>9</v>
      </c>
      <c r="CD15" s="32">
        <f t="shared" si="11"/>
        <v>9</v>
      </c>
      <c r="CE15" s="32">
        <f t="shared" si="12"/>
        <v>9</v>
      </c>
      <c r="CF15" s="67">
        <f>SUM((SMALL(BW15:CE15,{1,2,3,5,5,6})))</f>
        <v>48</v>
      </c>
      <c r="CG15" s="32" t="s">
        <v>138</v>
      </c>
      <c r="CH15" s="82" t="s">
        <v>158</v>
      </c>
      <c r="CI15" s="82" t="s">
        <v>184</v>
      </c>
      <c r="CJ15" s="32" t="str">
        <f t="shared" si="1"/>
        <v>DANKWAH SHANTEL</v>
      </c>
      <c r="CK15" s="33" t="s">
        <v>113</v>
      </c>
      <c r="CL15" s="33"/>
      <c r="CM15" s="33"/>
      <c r="CN15" s="33"/>
      <c r="CO15" s="33" t="s">
        <v>113</v>
      </c>
      <c r="CP15" s="33"/>
      <c r="CQ15" s="33"/>
      <c r="CR15" s="33"/>
      <c r="CS15" s="33" t="s">
        <v>113</v>
      </c>
      <c r="CT15" s="33"/>
      <c r="CU15" s="33"/>
      <c r="CV15" s="33"/>
      <c r="CW15" s="33"/>
      <c r="CX15" s="33" t="s">
        <v>113</v>
      </c>
      <c r="CY15" s="33"/>
      <c r="CZ15" s="33"/>
      <c r="DA15" s="33"/>
      <c r="DB15" s="33" t="s">
        <v>113</v>
      </c>
      <c r="DC15" s="33"/>
      <c r="DD15" s="33"/>
      <c r="DE15" s="33"/>
      <c r="DF15" s="33"/>
      <c r="DG15" s="33" t="s">
        <v>113</v>
      </c>
      <c r="DH15" s="33"/>
    </row>
    <row r="16" spans="1:115" ht="24.75" customHeight="1" thickBot="1" x14ac:dyDescent="0.3">
      <c r="A16" s="63" t="str">
        <f>'Info List'!A17</f>
        <v>BHS9015</v>
      </c>
      <c r="B16" s="64" t="str">
        <f>'Info List'!B17</f>
        <v>ESSILFIE ENOCH</v>
      </c>
      <c r="C16" s="35">
        <f>'Info List'!C17</f>
        <v>9</v>
      </c>
      <c r="D16" s="41">
        <f>'Info List'!$D$3</f>
        <v>29</v>
      </c>
      <c r="E16" s="32" t="s">
        <v>135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f t="shared" si="2"/>
        <v>0</v>
      </c>
      <c r="L16" s="32">
        <f>'Info List'!F17</f>
        <v>0</v>
      </c>
      <c r="M16" s="34">
        <f>'Info List'!$G$3</f>
        <v>0</v>
      </c>
      <c r="N16" s="32">
        <f>ENGLISH!E18</f>
        <v>41.5</v>
      </c>
      <c r="O16" s="32">
        <f>ENGLISH!G18</f>
        <v>0</v>
      </c>
      <c r="P16" s="32">
        <f>ENGLISH!H18</f>
        <v>41.5</v>
      </c>
      <c r="Q16" s="32">
        <f>ENGLISH!I18</f>
        <v>16</v>
      </c>
      <c r="R16" s="32">
        <f>ENGLISH!J18</f>
        <v>7</v>
      </c>
      <c r="S16" s="32" t="str">
        <f>ENGLISH!K18</f>
        <v>PASS</v>
      </c>
      <c r="T16" s="32">
        <f>MATHS!E18</f>
        <v>41.5</v>
      </c>
      <c r="U16" s="32">
        <f>MATHS!G18</f>
        <v>0</v>
      </c>
      <c r="V16" s="32">
        <f>MATHS!H18</f>
        <v>41.5</v>
      </c>
      <c r="W16" s="32">
        <f>MATHS!I18</f>
        <v>16</v>
      </c>
      <c r="X16" s="32">
        <f>MATHS!J18</f>
        <v>7</v>
      </c>
      <c r="Y16" s="32" t="str">
        <f>MATHS!K18</f>
        <v>PASS</v>
      </c>
      <c r="Z16" s="32">
        <f>SCIENCE!E18</f>
        <v>41.5</v>
      </c>
      <c r="AA16" s="32">
        <f>SCIENCE!G18</f>
        <v>0</v>
      </c>
      <c r="AB16" s="32">
        <f>SCIENCE!H18</f>
        <v>41.5</v>
      </c>
      <c r="AC16" s="32">
        <f>SCIENCE!I18</f>
        <v>16</v>
      </c>
      <c r="AD16" s="32">
        <f>SCIENCE!J18</f>
        <v>7</v>
      </c>
      <c r="AE16" s="32" t="str">
        <f>SCIENCE!K18</f>
        <v>PASS</v>
      </c>
      <c r="AF16" s="32">
        <f>SOCIAL!E18</f>
        <v>41.5</v>
      </c>
      <c r="AG16" s="32">
        <f>SOCIAL!G18</f>
        <v>0</v>
      </c>
      <c r="AH16" s="32">
        <f>SOCIAL!H18</f>
        <v>41.5</v>
      </c>
      <c r="AI16" s="32">
        <f>SOCIAL!I18</f>
        <v>16</v>
      </c>
      <c r="AJ16" s="32">
        <f>SOCIAL!J18</f>
        <v>7</v>
      </c>
      <c r="AK16" s="32" t="str">
        <f>SOCIAL!K18</f>
        <v>PASS</v>
      </c>
      <c r="AL16" s="32">
        <f>'R.M.E'!E18</f>
        <v>0</v>
      </c>
      <c r="AM16" s="32">
        <f>'R.M.E'!G18</f>
        <v>0</v>
      </c>
      <c r="AN16" s="32">
        <f>'R.M.E'!H18</f>
        <v>0</v>
      </c>
      <c r="AO16" s="32">
        <f>'R.M.E'!I18</f>
        <v>2</v>
      </c>
      <c r="AP16" s="32">
        <f>'R.M.E'!J18</f>
        <v>9</v>
      </c>
      <c r="AQ16" s="32" t="str">
        <f>'R.M.E'!K18</f>
        <v>FAIL</v>
      </c>
      <c r="AR16" s="32">
        <f>COMPUTING!E18</f>
        <v>0</v>
      </c>
      <c r="AS16" s="32">
        <f>COMPUTING!G18</f>
        <v>0</v>
      </c>
      <c r="AT16" s="32">
        <f>COMPUTING!H18</f>
        <v>0</v>
      </c>
      <c r="AU16" s="32">
        <f>COMPUTING!I18</f>
        <v>2</v>
      </c>
      <c r="AV16" s="32">
        <f>COMPUTING!J18</f>
        <v>9</v>
      </c>
      <c r="AW16" s="32" t="str">
        <f>COMPUTING!K18</f>
        <v>FAIL</v>
      </c>
      <c r="AX16" s="32">
        <f>CAD!E18</f>
        <v>0</v>
      </c>
      <c r="AY16" s="32">
        <f>CAD!G18</f>
        <v>0</v>
      </c>
      <c r="AZ16" s="32">
        <f>CAD!H18</f>
        <v>0</v>
      </c>
      <c r="BA16" s="32">
        <f>CAD!I18</f>
        <v>2</v>
      </c>
      <c r="BB16" s="32">
        <f>CAD!J18</f>
        <v>9</v>
      </c>
      <c r="BC16" s="32" t="str">
        <f>CAD!K18</f>
        <v>FAIL</v>
      </c>
      <c r="BD16" s="32">
        <f>CAREER!E18</f>
        <v>0</v>
      </c>
      <c r="BE16" s="32">
        <f>CAREER!G18</f>
        <v>0</v>
      </c>
      <c r="BF16" s="32">
        <f>CAREER!H18</f>
        <v>0</v>
      </c>
      <c r="BG16" s="32">
        <f>CAREER!I18</f>
        <v>2</v>
      </c>
      <c r="BH16" s="32">
        <f>CAREER!J18</f>
        <v>9</v>
      </c>
      <c r="BI16" s="32" t="str">
        <f>CAREER!K18</f>
        <v>FAIL</v>
      </c>
      <c r="BJ16" s="32">
        <f>FANTE!E18</f>
        <v>0</v>
      </c>
      <c r="BK16" s="32">
        <f>FANTE!G18</f>
        <v>0</v>
      </c>
      <c r="BL16" s="32">
        <f>FANTE!H18</f>
        <v>0</v>
      </c>
      <c r="BM16" s="32">
        <f>FANTE!I18</f>
        <v>2</v>
      </c>
      <c r="BN16" s="32">
        <f>FANTE!J18</f>
        <v>9</v>
      </c>
      <c r="BO16" s="32" t="str">
        <f>FANTE!K18</f>
        <v>FAIL</v>
      </c>
      <c r="BP16" s="66">
        <f t="shared" si="3"/>
        <v>166</v>
      </c>
      <c r="BQ16" s="83" t="str">
        <f t="shared" si="4"/>
        <v>16th</v>
      </c>
      <c r="BR16" s="32" t="str">
        <f>VLOOKUP(BP16,'GRADING SYSTEM'!$A$1:$P$10,2)</f>
        <v>Below average, must buck up.</v>
      </c>
      <c r="BS16" s="32" t="str">
        <f>VLOOKUP(BP16,'GRADING SYSTEM'!$A$1:$P$10,10)</f>
        <v>Below average, you must work hard. There is the need for parental support.</v>
      </c>
      <c r="BT16" s="32" t="str">
        <f t="shared" si="0"/>
        <v>ESSILFIE ENOCH</v>
      </c>
      <c r="BU16" s="32"/>
      <c r="BV16" s="32"/>
      <c r="BW16" s="32">
        <f t="shared" si="5"/>
        <v>7</v>
      </c>
      <c r="BX16" s="32">
        <f t="shared" si="6"/>
        <v>7</v>
      </c>
      <c r="BY16" s="32">
        <f t="shared" si="7"/>
        <v>7</v>
      </c>
      <c r="BZ16" s="32">
        <f t="shared" si="8"/>
        <v>7</v>
      </c>
      <c r="CA16" s="32">
        <f t="shared" si="9"/>
        <v>9</v>
      </c>
      <c r="CB16" s="32">
        <f t="shared" si="10"/>
        <v>9</v>
      </c>
      <c r="CC16" s="32">
        <f>CAD!J18</f>
        <v>9</v>
      </c>
      <c r="CD16" s="32">
        <f t="shared" si="11"/>
        <v>9</v>
      </c>
      <c r="CE16" s="32">
        <f t="shared" si="12"/>
        <v>9</v>
      </c>
      <c r="CF16" s="67">
        <f>SUM((SMALL(BW16:CE16,{1,2,3,5,5,6})))</f>
        <v>48</v>
      </c>
      <c r="CG16" s="32" t="s">
        <v>138</v>
      </c>
      <c r="CH16" s="82" t="s">
        <v>159</v>
      </c>
      <c r="CI16" s="82" t="s">
        <v>185</v>
      </c>
      <c r="CJ16" s="32" t="str">
        <f t="shared" si="1"/>
        <v>ESSILFIE ENOCH</v>
      </c>
      <c r="CK16" s="33"/>
      <c r="CL16" s="33" t="s">
        <v>113</v>
      </c>
      <c r="CM16" s="33"/>
      <c r="CN16" s="33"/>
      <c r="CO16" s="33"/>
      <c r="CP16" s="33" t="s">
        <v>113</v>
      </c>
      <c r="CQ16" s="33"/>
      <c r="CR16" s="33"/>
      <c r="CS16" s="33" t="s">
        <v>113</v>
      </c>
      <c r="CT16" s="33"/>
      <c r="CU16" s="33"/>
      <c r="CV16" s="33"/>
      <c r="CW16" s="33"/>
      <c r="CX16" s="33" t="s">
        <v>113</v>
      </c>
      <c r="CY16" s="33"/>
      <c r="CZ16" s="33"/>
      <c r="DA16" s="33"/>
      <c r="DB16" s="33" t="s">
        <v>113</v>
      </c>
      <c r="DC16" s="33"/>
      <c r="DD16" s="33"/>
      <c r="DE16" s="33"/>
      <c r="DF16" s="33"/>
      <c r="DG16" s="33" t="s">
        <v>113</v>
      </c>
      <c r="DH16" s="33"/>
    </row>
    <row r="17" spans="1:112" ht="24" customHeight="1" thickBot="1" x14ac:dyDescent="0.3">
      <c r="A17" s="63" t="str">
        <f>'Info List'!A18</f>
        <v>BHS9016</v>
      </c>
      <c r="B17" s="64" t="str">
        <f>'Info List'!B18</f>
        <v>GANDAA LINDA</v>
      </c>
      <c r="C17" s="35">
        <f>'Info List'!C18</f>
        <v>9</v>
      </c>
      <c r="D17" s="41">
        <f>'Info List'!$D$3</f>
        <v>29</v>
      </c>
      <c r="E17" s="32" t="s">
        <v>135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f t="shared" si="2"/>
        <v>0</v>
      </c>
      <c r="L17" s="32">
        <f>'Info List'!F18</f>
        <v>0</v>
      </c>
      <c r="M17" s="34">
        <f>'Info List'!$G$3</f>
        <v>0</v>
      </c>
      <c r="N17" s="32">
        <f>ENGLISH!E19</f>
        <v>42</v>
      </c>
      <c r="O17" s="32">
        <f>ENGLISH!G19</f>
        <v>0</v>
      </c>
      <c r="P17" s="32">
        <f>ENGLISH!H19</f>
        <v>42</v>
      </c>
      <c r="Q17" s="32">
        <f>ENGLISH!I19</f>
        <v>15</v>
      </c>
      <c r="R17" s="32">
        <f>ENGLISH!J19</f>
        <v>7</v>
      </c>
      <c r="S17" s="32" t="str">
        <f>ENGLISH!K19</f>
        <v>PASS</v>
      </c>
      <c r="T17" s="32">
        <f>MATHS!E19</f>
        <v>42</v>
      </c>
      <c r="U17" s="32">
        <f>MATHS!G19</f>
        <v>0</v>
      </c>
      <c r="V17" s="32">
        <f>MATHS!H19</f>
        <v>42</v>
      </c>
      <c r="W17" s="32">
        <f>MATHS!I19</f>
        <v>15</v>
      </c>
      <c r="X17" s="32">
        <f>MATHS!J19</f>
        <v>7</v>
      </c>
      <c r="Y17" s="32" t="str">
        <f>MATHS!K19</f>
        <v>PASS</v>
      </c>
      <c r="Z17" s="32">
        <f>SCIENCE!E19</f>
        <v>42</v>
      </c>
      <c r="AA17" s="32">
        <f>SCIENCE!G19</f>
        <v>0</v>
      </c>
      <c r="AB17" s="32">
        <f>SCIENCE!H19</f>
        <v>42</v>
      </c>
      <c r="AC17" s="32">
        <f>SCIENCE!I19</f>
        <v>15</v>
      </c>
      <c r="AD17" s="32">
        <f>SCIENCE!J19</f>
        <v>7</v>
      </c>
      <c r="AE17" s="32" t="str">
        <f>SCIENCE!K19</f>
        <v>PASS</v>
      </c>
      <c r="AF17" s="32">
        <f>SOCIAL!E19</f>
        <v>42</v>
      </c>
      <c r="AG17" s="32">
        <f>SOCIAL!G19</f>
        <v>0</v>
      </c>
      <c r="AH17" s="32">
        <f>SOCIAL!H19</f>
        <v>42</v>
      </c>
      <c r="AI17" s="32">
        <f>SOCIAL!I19</f>
        <v>15</v>
      </c>
      <c r="AJ17" s="32">
        <f>SOCIAL!J19</f>
        <v>7</v>
      </c>
      <c r="AK17" s="32" t="str">
        <f>SOCIAL!K19</f>
        <v>PASS</v>
      </c>
      <c r="AL17" s="32">
        <f>'R.M.E'!E19</f>
        <v>0</v>
      </c>
      <c r="AM17" s="32">
        <f>'R.M.E'!G19</f>
        <v>0</v>
      </c>
      <c r="AN17" s="32">
        <f>'R.M.E'!H19</f>
        <v>0</v>
      </c>
      <c r="AO17" s="32">
        <f>'R.M.E'!I19</f>
        <v>2</v>
      </c>
      <c r="AP17" s="32">
        <f>'R.M.E'!J19</f>
        <v>9</v>
      </c>
      <c r="AQ17" s="32" t="str">
        <f>'R.M.E'!K19</f>
        <v>FAIL</v>
      </c>
      <c r="AR17" s="32">
        <f>COMPUTING!E19</f>
        <v>0</v>
      </c>
      <c r="AS17" s="32">
        <f>COMPUTING!G19</f>
        <v>0</v>
      </c>
      <c r="AT17" s="32">
        <f>COMPUTING!H19</f>
        <v>0</v>
      </c>
      <c r="AU17" s="32">
        <f>COMPUTING!I19</f>
        <v>2</v>
      </c>
      <c r="AV17" s="32">
        <f>COMPUTING!J19</f>
        <v>9</v>
      </c>
      <c r="AW17" s="32" t="str">
        <f>COMPUTING!K19</f>
        <v>FAIL</v>
      </c>
      <c r="AX17" s="32">
        <f>CAD!E19</f>
        <v>0</v>
      </c>
      <c r="AY17" s="32">
        <f>CAD!G19</f>
        <v>0</v>
      </c>
      <c r="AZ17" s="32">
        <f>CAD!H19</f>
        <v>0</v>
      </c>
      <c r="BA17" s="32">
        <f>CAD!I19</f>
        <v>2</v>
      </c>
      <c r="BB17" s="32">
        <f>CAD!J19</f>
        <v>9</v>
      </c>
      <c r="BC17" s="32" t="str">
        <f>CAD!K19</f>
        <v>FAIL</v>
      </c>
      <c r="BD17" s="32">
        <f>CAREER!E19</f>
        <v>0</v>
      </c>
      <c r="BE17" s="32">
        <f>CAREER!G19</f>
        <v>0</v>
      </c>
      <c r="BF17" s="32">
        <f>CAREER!H19</f>
        <v>0</v>
      </c>
      <c r="BG17" s="32">
        <f>CAREER!I19</f>
        <v>2</v>
      </c>
      <c r="BH17" s="32">
        <f>CAREER!J19</f>
        <v>9</v>
      </c>
      <c r="BI17" s="32" t="str">
        <f>CAREER!K19</f>
        <v>FAIL</v>
      </c>
      <c r="BJ17" s="32">
        <f>FANTE!E19</f>
        <v>0</v>
      </c>
      <c r="BK17" s="32">
        <f>FANTE!G19</f>
        <v>0</v>
      </c>
      <c r="BL17" s="32">
        <f>FANTE!H19</f>
        <v>0</v>
      </c>
      <c r="BM17" s="32">
        <f>FANTE!I19</f>
        <v>2</v>
      </c>
      <c r="BN17" s="32">
        <f>FANTE!J19</f>
        <v>9</v>
      </c>
      <c r="BO17" s="32" t="str">
        <f>FANTE!K19</f>
        <v>FAIL</v>
      </c>
      <c r="BP17" s="66">
        <f t="shared" si="3"/>
        <v>168</v>
      </c>
      <c r="BQ17" s="83" t="str">
        <f t="shared" si="4"/>
        <v>15th</v>
      </c>
      <c r="BR17" s="32" t="str">
        <f>VLOOKUP(BP17,'GRADING SYSTEM'!$A$1:$P$10,2)</f>
        <v>Below average, must buck up.</v>
      </c>
      <c r="BS17" s="32" t="str">
        <f>VLOOKUP(BP17,'GRADING SYSTEM'!$A$1:$P$10,10)</f>
        <v>Below average, you must work hard. There is the need for parental support.</v>
      </c>
      <c r="BT17" s="32" t="str">
        <f t="shared" si="0"/>
        <v>GANDAA LINDA</v>
      </c>
      <c r="BU17" s="32"/>
      <c r="BV17" s="32"/>
      <c r="BW17" s="32">
        <f t="shared" si="5"/>
        <v>7</v>
      </c>
      <c r="BX17" s="32">
        <f t="shared" si="6"/>
        <v>7</v>
      </c>
      <c r="BY17" s="32">
        <f t="shared" si="7"/>
        <v>7</v>
      </c>
      <c r="BZ17" s="32">
        <f t="shared" si="8"/>
        <v>7</v>
      </c>
      <c r="CA17" s="32">
        <f t="shared" si="9"/>
        <v>9</v>
      </c>
      <c r="CB17" s="32">
        <f t="shared" si="10"/>
        <v>9</v>
      </c>
      <c r="CC17" s="32">
        <f>CAD!J19</f>
        <v>9</v>
      </c>
      <c r="CD17" s="32">
        <f t="shared" si="11"/>
        <v>9</v>
      </c>
      <c r="CE17" s="32">
        <f t="shared" si="12"/>
        <v>9</v>
      </c>
      <c r="CF17" s="67">
        <f>SUM((SMALL(BW17:CE17,{1,2,3,5,5,6})))</f>
        <v>48</v>
      </c>
      <c r="CG17" s="32" t="s">
        <v>138</v>
      </c>
      <c r="CH17" s="82" t="s">
        <v>160</v>
      </c>
      <c r="CI17" s="82" t="s">
        <v>186</v>
      </c>
      <c r="CJ17" s="32" t="str">
        <f t="shared" si="1"/>
        <v>GANDAA LINDA</v>
      </c>
      <c r="CK17" s="33" t="s">
        <v>113</v>
      </c>
      <c r="CL17" s="33"/>
      <c r="CM17" s="33"/>
      <c r="CN17" s="33"/>
      <c r="CO17" s="33"/>
      <c r="CP17" s="33" t="s">
        <v>113</v>
      </c>
      <c r="CQ17" s="33"/>
      <c r="CR17" s="33"/>
      <c r="CS17" s="33" t="s">
        <v>113</v>
      </c>
      <c r="CT17" s="33"/>
      <c r="CU17" s="33"/>
      <c r="CV17" s="33"/>
      <c r="CW17" s="33"/>
      <c r="CX17" s="33" t="s">
        <v>113</v>
      </c>
      <c r="CY17" s="33"/>
      <c r="CZ17" s="33"/>
      <c r="DA17" s="33"/>
      <c r="DB17" s="33" t="s">
        <v>113</v>
      </c>
      <c r="DC17" s="33"/>
      <c r="DD17" s="33"/>
      <c r="DE17" s="33"/>
      <c r="DF17" s="33"/>
      <c r="DG17" s="33" t="s">
        <v>113</v>
      </c>
      <c r="DH17" s="33"/>
    </row>
    <row r="18" spans="1:112" ht="25.5" customHeight="1" thickBot="1" x14ac:dyDescent="0.3">
      <c r="A18" s="63" t="str">
        <f>'Info List'!A19</f>
        <v>BHS9017</v>
      </c>
      <c r="B18" s="64" t="str">
        <f>'Info List'!B19</f>
        <v>GEORGINA DUSHIE QUEENSTAR</v>
      </c>
      <c r="C18" s="35">
        <f>'Info List'!C19</f>
        <v>9</v>
      </c>
      <c r="D18" s="41">
        <f>'Info List'!$D$3</f>
        <v>29</v>
      </c>
      <c r="E18" s="32" t="s">
        <v>135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f t="shared" si="2"/>
        <v>0</v>
      </c>
      <c r="L18" s="32">
        <f>'Info List'!F19</f>
        <v>0</v>
      </c>
      <c r="M18" s="34">
        <f>'Info List'!$G$3</f>
        <v>0</v>
      </c>
      <c r="N18" s="32">
        <f>ENGLISH!E20</f>
        <v>42.5</v>
      </c>
      <c r="O18" s="32">
        <f>ENGLISH!G20</f>
        <v>0</v>
      </c>
      <c r="P18" s="32">
        <f>ENGLISH!H20</f>
        <v>42.5</v>
      </c>
      <c r="Q18" s="32">
        <f>ENGLISH!I20</f>
        <v>14</v>
      </c>
      <c r="R18" s="32">
        <f>ENGLISH!J20</f>
        <v>7</v>
      </c>
      <c r="S18" s="32" t="str">
        <f>ENGLISH!K20</f>
        <v>PASS</v>
      </c>
      <c r="T18" s="32">
        <f>MATHS!E20</f>
        <v>42.5</v>
      </c>
      <c r="U18" s="32">
        <f>MATHS!G20</f>
        <v>0</v>
      </c>
      <c r="V18" s="32">
        <f>MATHS!H20</f>
        <v>42.5</v>
      </c>
      <c r="W18" s="32">
        <f>MATHS!I20</f>
        <v>14</v>
      </c>
      <c r="X18" s="32">
        <f>MATHS!J20</f>
        <v>7</v>
      </c>
      <c r="Y18" s="32" t="str">
        <f>MATHS!K20</f>
        <v>PASS</v>
      </c>
      <c r="Z18" s="32">
        <f>SCIENCE!E20</f>
        <v>42.5</v>
      </c>
      <c r="AA18" s="32">
        <f>SCIENCE!G20</f>
        <v>0</v>
      </c>
      <c r="AB18" s="32">
        <f>SCIENCE!H20</f>
        <v>42.5</v>
      </c>
      <c r="AC18" s="32">
        <f>SCIENCE!I20</f>
        <v>14</v>
      </c>
      <c r="AD18" s="32">
        <f>SCIENCE!J20</f>
        <v>7</v>
      </c>
      <c r="AE18" s="32" t="str">
        <f>SCIENCE!K20</f>
        <v>PASS</v>
      </c>
      <c r="AF18" s="32">
        <f>SOCIAL!E20</f>
        <v>42.5</v>
      </c>
      <c r="AG18" s="32">
        <f>SOCIAL!G20</f>
        <v>0</v>
      </c>
      <c r="AH18" s="32">
        <f>SOCIAL!H20</f>
        <v>42.5</v>
      </c>
      <c r="AI18" s="32">
        <f>SOCIAL!I20</f>
        <v>14</v>
      </c>
      <c r="AJ18" s="32">
        <f>SOCIAL!J20</f>
        <v>7</v>
      </c>
      <c r="AK18" s="32" t="str">
        <f>SOCIAL!K20</f>
        <v>PASS</v>
      </c>
      <c r="AL18" s="32">
        <f>'R.M.E'!E20</f>
        <v>0</v>
      </c>
      <c r="AM18" s="32">
        <f>'R.M.E'!G20</f>
        <v>0</v>
      </c>
      <c r="AN18" s="32">
        <f>'R.M.E'!H20</f>
        <v>0</v>
      </c>
      <c r="AO18" s="32">
        <f>'R.M.E'!I20</f>
        <v>2</v>
      </c>
      <c r="AP18" s="32">
        <f>'R.M.E'!J20</f>
        <v>9</v>
      </c>
      <c r="AQ18" s="32" t="str">
        <f>'R.M.E'!K20</f>
        <v>FAIL</v>
      </c>
      <c r="AR18" s="32">
        <f>COMPUTING!E20</f>
        <v>0</v>
      </c>
      <c r="AS18" s="32">
        <f>COMPUTING!G20</f>
        <v>0</v>
      </c>
      <c r="AT18" s="32">
        <f>COMPUTING!H20</f>
        <v>0</v>
      </c>
      <c r="AU18" s="32">
        <f>COMPUTING!I20</f>
        <v>2</v>
      </c>
      <c r="AV18" s="32">
        <f>COMPUTING!J20</f>
        <v>9</v>
      </c>
      <c r="AW18" s="32" t="str">
        <f>COMPUTING!K20</f>
        <v>FAIL</v>
      </c>
      <c r="AX18" s="32">
        <f>CAD!E20</f>
        <v>0</v>
      </c>
      <c r="AY18" s="32">
        <f>CAD!G20</f>
        <v>0</v>
      </c>
      <c r="AZ18" s="32">
        <f>CAD!H20</f>
        <v>0</v>
      </c>
      <c r="BA18" s="32">
        <f>CAD!I20</f>
        <v>2</v>
      </c>
      <c r="BB18" s="32">
        <f>CAD!J20</f>
        <v>9</v>
      </c>
      <c r="BC18" s="32" t="str">
        <f>CAD!K20</f>
        <v>FAIL</v>
      </c>
      <c r="BD18" s="32">
        <f>CAREER!E20</f>
        <v>0</v>
      </c>
      <c r="BE18" s="32">
        <f>CAREER!G20</f>
        <v>0</v>
      </c>
      <c r="BF18" s="32">
        <f>CAREER!H20</f>
        <v>0</v>
      </c>
      <c r="BG18" s="32">
        <f>CAREER!I20</f>
        <v>2</v>
      </c>
      <c r="BH18" s="32">
        <f>CAREER!J20</f>
        <v>9</v>
      </c>
      <c r="BI18" s="32" t="str">
        <f>CAREER!K20</f>
        <v>FAIL</v>
      </c>
      <c r="BJ18" s="32">
        <f>FANTE!E20</f>
        <v>0</v>
      </c>
      <c r="BK18" s="32">
        <f>FANTE!G20</f>
        <v>0</v>
      </c>
      <c r="BL18" s="32">
        <f>FANTE!H20</f>
        <v>0</v>
      </c>
      <c r="BM18" s="32">
        <f>FANTE!I20</f>
        <v>2</v>
      </c>
      <c r="BN18" s="32">
        <f>FANTE!J20</f>
        <v>9</v>
      </c>
      <c r="BO18" s="32" t="str">
        <f>FANTE!K20</f>
        <v>FAIL</v>
      </c>
      <c r="BP18" s="66">
        <f t="shared" si="3"/>
        <v>170</v>
      </c>
      <c r="BQ18" s="83" t="str">
        <f t="shared" si="4"/>
        <v>14th</v>
      </c>
      <c r="BR18" s="32" t="str">
        <f>VLOOKUP(BP18,'GRADING SYSTEM'!$A$1:$P$10,2)</f>
        <v>Below average, must buck up.</v>
      </c>
      <c r="BS18" s="32" t="str">
        <f>VLOOKUP(BP18,'GRADING SYSTEM'!$A$1:$P$10,10)</f>
        <v>Below average, you must work hard. There is the need for parental support.</v>
      </c>
      <c r="BT18" s="32" t="str">
        <f t="shared" si="0"/>
        <v>GEORGINA DUSHIE QUEENSTAR</v>
      </c>
      <c r="BU18" s="32"/>
      <c r="BV18" s="32"/>
      <c r="BW18" s="32">
        <f t="shared" si="5"/>
        <v>7</v>
      </c>
      <c r="BX18" s="32">
        <f t="shared" si="6"/>
        <v>7</v>
      </c>
      <c r="BY18" s="32">
        <f t="shared" si="7"/>
        <v>7</v>
      </c>
      <c r="BZ18" s="32">
        <f t="shared" si="8"/>
        <v>7</v>
      </c>
      <c r="CA18" s="32">
        <f t="shared" si="9"/>
        <v>9</v>
      </c>
      <c r="CB18" s="32">
        <f t="shared" si="10"/>
        <v>9</v>
      </c>
      <c r="CC18" s="32">
        <f>CAD!J20</f>
        <v>9</v>
      </c>
      <c r="CD18" s="32">
        <f t="shared" si="11"/>
        <v>9</v>
      </c>
      <c r="CE18" s="32">
        <f t="shared" si="12"/>
        <v>9</v>
      </c>
      <c r="CF18" s="67">
        <f>SUM((SMALL(BW18:CE18,{1,2,3,5,5,6})))</f>
        <v>48</v>
      </c>
      <c r="CG18" s="32" t="s">
        <v>138</v>
      </c>
      <c r="CH18" s="82" t="s">
        <v>161</v>
      </c>
      <c r="CI18" s="82" t="s">
        <v>187</v>
      </c>
      <c r="CJ18" s="32" t="str">
        <f t="shared" si="1"/>
        <v>GEORGINA DUSHIE QUEENSTAR</v>
      </c>
      <c r="CK18" s="33" t="s">
        <v>113</v>
      </c>
      <c r="CL18" s="33"/>
      <c r="CM18" s="33"/>
      <c r="CN18" s="33"/>
      <c r="CO18" s="33"/>
      <c r="CP18" s="33" t="s">
        <v>113</v>
      </c>
      <c r="CQ18" s="33"/>
      <c r="CR18" s="33"/>
      <c r="CS18" s="33" t="s">
        <v>113</v>
      </c>
      <c r="CT18" s="33"/>
      <c r="CU18" s="33"/>
      <c r="CV18" s="33"/>
      <c r="CW18" s="33"/>
      <c r="CX18" s="33" t="s">
        <v>113</v>
      </c>
      <c r="CY18" s="33"/>
      <c r="CZ18" s="33"/>
      <c r="DA18" s="33"/>
      <c r="DB18" s="33" t="s">
        <v>113</v>
      </c>
      <c r="DC18" s="33"/>
      <c r="DD18" s="33"/>
      <c r="DE18" s="33"/>
      <c r="DF18" s="33"/>
      <c r="DG18" s="33" t="s">
        <v>113</v>
      </c>
      <c r="DH18" s="33"/>
    </row>
    <row r="19" spans="1:112" ht="24" customHeight="1" thickBot="1" x14ac:dyDescent="0.3">
      <c r="A19" s="63" t="str">
        <f>'Info List'!A20</f>
        <v>BHS9018</v>
      </c>
      <c r="B19" s="64" t="str">
        <f>'Info List'!B20</f>
        <v>GYAKYE AMPONSAH EKUA</v>
      </c>
      <c r="C19" s="35">
        <f>'Info List'!C20</f>
        <v>9</v>
      </c>
      <c r="D19" s="41">
        <f>'Info List'!$D$3</f>
        <v>29</v>
      </c>
      <c r="E19" s="32" t="s">
        <v>135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f t="shared" si="2"/>
        <v>0</v>
      </c>
      <c r="L19" s="32">
        <f>'Info List'!F20</f>
        <v>0</v>
      </c>
      <c r="M19" s="34">
        <f>'Info List'!$G$3</f>
        <v>0</v>
      </c>
      <c r="N19" s="32">
        <f>ENGLISH!E21</f>
        <v>43</v>
      </c>
      <c r="O19" s="32">
        <f>ENGLISH!G21</f>
        <v>0</v>
      </c>
      <c r="P19" s="32">
        <f>ENGLISH!H21</f>
        <v>43</v>
      </c>
      <c r="Q19" s="32">
        <f>ENGLISH!I21</f>
        <v>13</v>
      </c>
      <c r="R19" s="32">
        <f>ENGLISH!J21</f>
        <v>7</v>
      </c>
      <c r="S19" s="32" t="str">
        <f>ENGLISH!K21</f>
        <v>PASS</v>
      </c>
      <c r="T19" s="32">
        <f>MATHS!E21</f>
        <v>43</v>
      </c>
      <c r="U19" s="32">
        <f>MATHS!G21</f>
        <v>0</v>
      </c>
      <c r="V19" s="32">
        <f>MATHS!H21</f>
        <v>43</v>
      </c>
      <c r="W19" s="32">
        <f>MATHS!I21</f>
        <v>13</v>
      </c>
      <c r="X19" s="32">
        <f>MATHS!J21</f>
        <v>7</v>
      </c>
      <c r="Y19" s="32" t="str">
        <f>MATHS!K21</f>
        <v>PASS</v>
      </c>
      <c r="Z19" s="32">
        <f>SCIENCE!E21</f>
        <v>43</v>
      </c>
      <c r="AA19" s="32">
        <f>SCIENCE!G21</f>
        <v>0</v>
      </c>
      <c r="AB19" s="32">
        <f>SCIENCE!H21</f>
        <v>43</v>
      </c>
      <c r="AC19" s="32">
        <f>SCIENCE!I21</f>
        <v>13</v>
      </c>
      <c r="AD19" s="32">
        <f>SCIENCE!J21</f>
        <v>7</v>
      </c>
      <c r="AE19" s="32" t="str">
        <f>SCIENCE!K21</f>
        <v>PASS</v>
      </c>
      <c r="AF19" s="32">
        <f>SOCIAL!E21</f>
        <v>43</v>
      </c>
      <c r="AG19" s="32">
        <f>SOCIAL!G21</f>
        <v>0</v>
      </c>
      <c r="AH19" s="32">
        <f>SOCIAL!H21</f>
        <v>43</v>
      </c>
      <c r="AI19" s="32">
        <f>SOCIAL!I21</f>
        <v>13</v>
      </c>
      <c r="AJ19" s="32">
        <f>SOCIAL!J21</f>
        <v>7</v>
      </c>
      <c r="AK19" s="32" t="str">
        <f>SOCIAL!K21</f>
        <v>PASS</v>
      </c>
      <c r="AL19" s="32">
        <f>'R.M.E'!E21</f>
        <v>0</v>
      </c>
      <c r="AM19" s="32">
        <f>'R.M.E'!G21</f>
        <v>0</v>
      </c>
      <c r="AN19" s="32">
        <f>'R.M.E'!H21</f>
        <v>0</v>
      </c>
      <c r="AO19" s="32">
        <f>'R.M.E'!I21</f>
        <v>2</v>
      </c>
      <c r="AP19" s="32">
        <f>'R.M.E'!J21</f>
        <v>9</v>
      </c>
      <c r="AQ19" s="32" t="str">
        <f>'R.M.E'!K21</f>
        <v>FAIL</v>
      </c>
      <c r="AR19" s="32">
        <f>COMPUTING!E21</f>
        <v>0</v>
      </c>
      <c r="AS19" s="32">
        <f>COMPUTING!G21</f>
        <v>0</v>
      </c>
      <c r="AT19" s="32">
        <f>COMPUTING!H21</f>
        <v>0</v>
      </c>
      <c r="AU19" s="32">
        <f>COMPUTING!I21</f>
        <v>2</v>
      </c>
      <c r="AV19" s="32">
        <f>COMPUTING!J21</f>
        <v>9</v>
      </c>
      <c r="AW19" s="32" t="str">
        <f>COMPUTING!K21</f>
        <v>FAIL</v>
      </c>
      <c r="AX19" s="32">
        <f>CAD!E21</f>
        <v>0</v>
      </c>
      <c r="AY19" s="32">
        <f>CAD!G21</f>
        <v>0</v>
      </c>
      <c r="AZ19" s="32">
        <f>CAD!H21</f>
        <v>0</v>
      </c>
      <c r="BA19" s="32">
        <f>CAD!I21</f>
        <v>2</v>
      </c>
      <c r="BB19" s="32">
        <f>CAD!J21</f>
        <v>9</v>
      </c>
      <c r="BC19" s="32" t="str">
        <f>CAD!K21</f>
        <v>FAIL</v>
      </c>
      <c r="BD19" s="32">
        <f>CAREER!E21</f>
        <v>0</v>
      </c>
      <c r="BE19" s="32">
        <f>CAREER!G21</f>
        <v>0</v>
      </c>
      <c r="BF19" s="32">
        <f>CAREER!H21</f>
        <v>0</v>
      </c>
      <c r="BG19" s="32">
        <f>CAREER!I21</f>
        <v>2</v>
      </c>
      <c r="BH19" s="32">
        <f>CAREER!J21</f>
        <v>9</v>
      </c>
      <c r="BI19" s="32" t="str">
        <f>CAREER!K21</f>
        <v>FAIL</v>
      </c>
      <c r="BJ19" s="32">
        <f>FANTE!E21</f>
        <v>0</v>
      </c>
      <c r="BK19" s="32">
        <f>FANTE!G21</f>
        <v>0</v>
      </c>
      <c r="BL19" s="32">
        <f>FANTE!H21</f>
        <v>0</v>
      </c>
      <c r="BM19" s="32">
        <f>FANTE!I21</f>
        <v>2</v>
      </c>
      <c r="BN19" s="32">
        <f>FANTE!J21</f>
        <v>9</v>
      </c>
      <c r="BO19" s="32" t="str">
        <f>FANTE!K21</f>
        <v>FAIL</v>
      </c>
      <c r="BP19" s="66">
        <f t="shared" si="3"/>
        <v>172</v>
      </c>
      <c r="BQ19" s="83" t="str">
        <f t="shared" si="4"/>
        <v>13th</v>
      </c>
      <c r="BR19" s="32" t="str">
        <f>VLOOKUP(BP19,'GRADING SYSTEM'!$A$1:$P$10,2)</f>
        <v>Below average, must buck up.</v>
      </c>
      <c r="BS19" s="32" t="str">
        <f>VLOOKUP(BP19,'GRADING SYSTEM'!$A$1:$P$10,10)</f>
        <v>Below average, you must work hard. There is the need for parental support.</v>
      </c>
      <c r="BT19" s="32" t="str">
        <f t="shared" si="0"/>
        <v>GYAKYE AMPONSAH EKUA</v>
      </c>
      <c r="BU19" s="32"/>
      <c r="BV19" s="32"/>
      <c r="BW19" s="32">
        <f t="shared" si="5"/>
        <v>7</v>
      </c>
      <c r="BX19" s="32">
        <f t="shared" si="6"/>
        <v>7</v>
      </c>
      <c r="BY19" s="32">
        <f t="shared" si="7"/>
        <v>7</v>
      </c>
      <c r="BZ19" s="32">
        <f t="shared" si="8"/>
        <v>7</v>
      </c>
      <c r="CA19" s="32">
        <f t="shared" si="9"/>
        <v>9</v>
      </c>
      <c r="CB19" s="32">
        <f t="shared" si="10"/>
        <v>9</v>
      </c>
      <c r="CC19" s="32">
        <f>CAD!J21</f>
        <v>9</v>
      </c>
      <c r="CD19" s="32">
        <f t="shared" si="11"/>
        <v>9</v>
      </c>
      <c r="CE19" s="32">
        <f t="shared" si="12"/>
        <v>9</v>
      </c>
      <c r="CF19" s="67">
        <f>SUM((SMALL(BW19:CE19,{1,2,3,5,5,6})))</f>
        <v>48</v>
      </c>
      <c r="CG19" s="32" t="s">
        <v>138</v>
      </c>
      <c r="CH19" s="82" t="s">
        <v>162</v>
      </c>
      <c r="CI19" s="82" t="s">
        <v>188</v>
      </c>
      <c r="CJ19" s="32" t="str">
        <f t="shared" si="1"/>
        <v>GYAKYE AMPONSAH EKUA</v>
      </c>
      <c r="CK19" s="33"/>
      <c r="CL19" s="33"/>
      <c r="CM19" s="33" t="s">
        <v>113</v>
      </c>
      <c r="CN19" s="33"/>
      <c r="CO19" s="33"/>
      <c r="CP19" s="33" t="s">
        <v>113</v>
      </c>
      <c r="CQ19" s="33"/>
      <c r="CR19" s="33"/>
      <c r="CS19" s="33" t="s">
        <v>113</v>
      </c>
      <c r="CT19" s="33"/>
      <c r="CU19" s="33"/>
      <c r="CV19" s="33"/>
      <c r="CW19" s="33"/>
      <c r="CX19" s="33" t="s">
        <v>113</v>
      </c>
      <c r="CY19" s="33"/>
      <c r="CZ19" s="33"/>
      <c r="DA19" s="33"/>
      <c r="DB19" s="33" t="s">
        <v>113</v>
      </c>
      <c r="DC19" s="33"/>
      <c r="DD19" s="33"/>
      <c r="DE19" s="33"/>
      <c r="DF19" s="33"/>
      <c r="DG19" s="33" t="s">
        <v>113</v>
      </c>
      <c r="DH19" s="33"/>
    </row>
    <row r="20" spans="1:112" ht="25.5" customHeight="1" thickBot="1" x14ac:dyDescent="0.3">
      <c r="A20" s="63" t="str">
        <f>'Info List'!A21</f>
        <v>BHS9019</v>
      </c>
      <c r="B20" s="64" t="str">
        <f>'Info List'!B21</f>
        <v>MENSAH GLORIA KUSI</v>
      </c>
      <c r="C20" s="35">
        <f>'Info List'!C21</f>
        <v>9</v>
      </c>
      <c r="D20" s="41">
        <f>'Info List'!$D$3</f>
        <v>29</v>
      </c>
      <c r="E20" s="32" t="s">
        <v>135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f t="shared" si="2"/>
        <v>0</v>
      </c>
      <c r="L20" s="32">
        <f>'Info List'!F21</f>
        <v>0</v>
      </c>
      <c r="M20" s="34">
        <f>'Info List'!$G$3</f>
        <v>0</v>
      </c>
      <c r="N20" s="32">
        <f>ENGLISH!E22</f>
        <v>43.5</v>
      </c>
      <c r="O20" s="32">
        <f>ENGLISH!G22</f>
        <v>0</v>
      </c>
      <c r="P20" s="32">
        <f>ENGLISH!H22</f>
        <v>43.5</v>
      </c>
      <c r="Q20" s="32">
        <f>ENGLISH!I22</f>
        <v>12</v>
      </c>
      <c r="R20" s="32">
        <f>ENGLISH!J22</f>
        <v>7</v>
      </c>
      <c r="S20" s="32" t="str">
        <f>ENGLISH!K22</f>
        <v>PASS</v>
      </c>
      <c r="T20" s="32">
        <f>MATHS!E22</f>
        <v>43.5</v>
      </c>
      <c r="U20" s="32">
        <f>MATHS!G22</f>
        <v>0</v>
      </c>
      <c r="V20" s="32">
        <f>MATHS!H22</f>
        <v>43.5</v>
      </c>
      <c r="W20" s="32">
        <f>MATHS!I22</f>
        <v>12</v>
      </c>
      <c r="X20" s="32">
        <f>MATHS!J22</f>
        <v>7</v>
      </c>
      <c r="Y20" s="32" t="str">
        <f>MATHS!K22</f>
        <v>PASS</v>
      </c>
      <c r="Z20" s="32">
        <f>SCIENCE!E22</f>
        <v>43.5</v>
      </c>
      <c r="AA20" s="32">
        <f>SCIENCE!G22</f>
        <v>0</v>
      </c>
      <c r="AB20" s="32">
        <f>SCIENCE!H22</f>
        <v>43.5</v>
      </c>
      <c r="AC20" s="32">
        <f>SCIENCE!I22</f>
        <v>12</v>
      </c>
      <c r="AD20" s="32">
        <f>SCIENCE!J22</f>
        <v>7</v>
      </c>
      <c r="AE20" s="32" t="str">
        <f>SCIENCE!K22</f>
        <v>PASS</v>
      </c>
      <c r="AF20" s="32">
        <f>SOCIAL!E22</f>
        <v>43.5</v>
      </c>
      <c r="AG20" s="32">
        <f>SOCIAL!G22</f>
        <v>0</v>
      </c>
      <c r="AH20" s="32">
        <f>SOCIAL!H22</f>
        <v>43.5</v>
      </c>
      <c r="AI20" s="32">
        <f>SOCIAL!I22</f>
        <v>12</v>
      </c>
      <c r="AJ20" s="32">
        <f>SOCIAL!J22</f>
        <v>7</v>
      </c>
      <c r="AK20" s="32" t="str">
        <f>SOCIAL!K22</f>
        <v>PASS</v>
      </c>
      <c r="AL20" s="32">
        <f>'R.M.E'!E22</f>
        <v>0</v>
      </c>
      <c r="AM20" s="32">
        <f>'R.M.E'!G22</f>
        <v>0</v>
      </c>
      <c r="AN20" s="32">
        <f>'R.M.E'!H22</f>
        <v>0</v>
      </c>
      <c r="AO20" s="32">
        <f>'R.M.E'!I22</f>
        <v>2</v>
      </c>
      <c r="AP20" s="32">
        <f>'R.M.E'!J22</f>
        <v>9</v>
      </c>
      <c r="AQ20" s="32" t="str">
        <f>'R.M.E'!K22</f>
        <v>FAIL</v>
      </c>
      <c r="AR20" s="32">
        <f>COMPUTING!E22</f>
        <v>0</v>
      </c>
      <c r="AS20" s="32">
        <f>COMPUTING!G22</f>
        <v>0</v>
      </c>
      <c r="AT20" s="32">
        <f>COMPUTING!H22</f>
        <v>0</v>
      </c>
      <c r="AU20" s="32">
        <f>COMPUTING!I22</f>
        <v>2</v>
      </c>
      <c r="AV20" s="32">
        <f>COMPUTING!J22</f>
        <v>9</v>
      </c>
      <c r="AW20" s="32" t="str">
        <f>COMPUTING!K22</f>
        <v>FAIL</v>
      </c>
      <c r="AX20" s="32">
        <f>CAD!E22</f>
        <v>0</v>
      </c>
      <c r="AY20" s="32">
        <f>CAD!G22</f>
        <v>0</v>
      </c>
      <c r="AZ20" s="32">
        <f>CAD!H22</f>
        <v>0</v>
      </c>
      <c r="BA20" s="32">
        <f>CAD!I22</f>
        <v>2</v>
      </c>
      <c r="BB20" s="32">
        <f>CAD!J22</f>
        <v>9</v>
      </c>
      <c r="BC20" s="32" t="str">
        <f>CAD!K22</f>
        <v>FAIL</v>
      </c>
      <c r="BD20" s="32">
        <f>CAREER!E22</f>
        <v>0</v>
      </c>
      <c r="BE20" s="32">
        <f>CAREER!G22</f>
        <v>0</v>
      </c>
      <c r="BF20" s="32">
        <f>CAREER!H22</f>
        <v>0</v>
      </c>
      <c r="BG20" s="32">
        <f>CAREER!I22</f>
        <v>2</v>
      </c>
      <c r="BH20" s="32">
        <f>CAREER!J22</f>
        <v>9</v>
      </c>
      <c r="BI20" s="32" t="str">
        <f>CAREER!K22</f>
        <v>FAIL</v>
      </c>
      <c r="BJ20" s="32">
        <f>FANTE!E22</f>
        <v>0</v>
      </c>
      <c r="BK20" s="32">
        <f>FANTE!G22</f>
        <v>0</v>
      </c>
      <c r="BL20" s="32">
        <f>FANTE!H22</f>
        <v>0</v>
      </c>
      <c r="BM20" s="32">
        <f>FANTE!I22</f>
        <v>2</v>
      </c>
      <c r="BN20" s="32">
        <f>FANTE!J22</f>
        <v>9</v>
      </c>
      <c r="BO20" s="32" t="str">
        <f>FANTE!K22</f>
        <v>FAIL</v>
      </c>
      <c r="BP20" s="66">
        <f t="shared" si="3"/>
        <v>174</v>
      </c>
      <c r="BQ20" s="83" t="str">
        <f t="shared" si="4"/>
        <v>12th</v>
      </c>
      <c r="BR20" s="32" t="str">
        <f>VLOOKUP(BP20,'GRADING SYSTEM'!$A$1:$P$10,2)</f>
        <v>Below average, must buck up.</v>
      </c>
      <c r="BS20" s="32" t="str">
        <f>VLOOKUP(BP20,'GRADING SYSTEM'!$A$1:$P$10,10)</f>
        <v>Below average, you must work hard. There is the need for parental support.</v>
      </c>
      <c r="BT20" s="32" t="str">
        <f t="shared" si="0"/>
        <v>MENSAH GLORIA KUSI</v>
      </c>
      <c r="BU20" s="32"/>
      <c r="BV20" s="32"/>
      <c r="BW20" s="32">
        <f t="shared" si="5"/>
        <v>7</v>
      </c>
      <c r="BX20" s="32">
        <f t="shared" si="6"/>
        <v>7</v>
      </c>
      <c r="BY20" s="32">
        <f t="shared" si="7"/>
        <v>7</v>
      </c>
      <c r="BZ20" s="32">
        <f t="shared" si="8"/>
        <v>7</v>
      </c>
      <c r="CA20" s="32">
        <f t="shared" si="9"/>
        <v>9</v>
      </c>
      <c r="CB20" s="32">
        <f t="shared" si="10"/>
        <v>9</v>
      </c>
      <c r="CC20" s="32">
        <f>CAD!J22</f>
        <v>9</v>
      </c>
      <c r="CD20" s="32">
        <f t="shared" si="11"/>
        <v>9</v>
      </c>
      <c r="CE20" s="32">
        <f t="shared" si="12"/>
        <v>9</v>
      </c>
      <c r="CF20" s="67">
        <f>SUM((SMALL(BW20:CE20,{1,2,3,5,5,6})))</f>
        <v>48</v>
      </c>
      <c r="CG20" s="32" t="s">
        <v>138</v>
      </c>
      <c r="CH20" s="82" t="s">
        <v>163</v>
      </c>
      <c r="CI20" s="82" t="s">
        <v>189</v>
      </c>
      <c r="CJ20" s="32" t="str">
        <f t="shared" si="1"/>
        <v>MENSAH GLORIA KUSI</v>
      </c>
      <c r="CK20" s="33"/>
      <c r="CL20" s="33" t="s">
        <v>113</v>
      </c>
      <c r="CM20" s="33"/>
      <c r="CN20" s="33"/>
      <c r="CO20" s="33" t="s">
        <v>113</v>
      </c>
      <c r="CP20" s="33"/>
      <c r="CQ20" s="33"/>
      <c r="CR20" s="33"/>
      <c r="CS20" s="33" t="s">
        <v>113</v>
      </c>
      <c r="CT20" s="33"/>
      <c r="CU20" s="33"/>
      <c r="CV20" s="33"/>
      <c r="CW20" s="33"/>
      <c r="CX20" s="33" t="s">
        <v>113</v>
      </c>
      <c r="CY20" s="33"/>
      <c r="CZ20" s="33"/>
      <c r="DA20" s="33"/>
      <c r="DB20" s="33" t="s">
        <v>113</v>
      </c>
      <c r="DC20" s="33"/>
      <c r="DD20" s="33"/>
      <c r="DE20" s="33"/>
      <c r="DF20" s="33"/>
      <c r="DG20" s="33" t="s">
        <v>113</v>
      </c>
      <c r="DH20" s="33"/>
    </row>
    <row r="21" spans="1:112" ht="24" customHeight="1" thickBot="1" x14ac:dyDescent="0.3">
      <c r="A21" s="63" t="str">
        <f>'Info List'!A22</f>
        <v>BHS9020</v>
      </c>
      <c r="B21" s="64" t="str">
        <f>'Info List'!B22</f>
        <v>MENSAH KWASI BLESS</v>
      </c>
      <c r="C21" s="35">
        <f>'Info List'!C22</f>
        <v>9</v>
      </c>
      <c r="D21" s="41">
        <f>'Info List'!$D$3</f>
        <v>29</v>
      </c>
      <c r="E21" s="32" t="s">
        <v>135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f t="shared" si="2"/>
        <v>0</v>
      </c>
      <c r="L21" s="32">
        <f>'Info List'!F22</f>
        <v>0</v>
      </c>
      <c r="M21" s="34">
        <f>'Info List'!$G$3</f>
        <v>0</v>
      </c>
      <c r="N21" s="32">
        <f>ENGLISH!E23</f>
        <v>44</v>
      </c>
      <c r="O21" s="32">
        <f>ENGLISH!G23</f>
        <v>0</v>
      </c>
      <c r="P21" s="32">
        <f>ENGLISH!H23</f>
        <v>44</v>
      </c>
      <c r="Q21" s="32">
        <f>ENGLISH!I23</f>
        <v>11</v>
      </c>
      <c r="R21" s="32">
        <f>ENGLISH!J23</f>
        <v>7</v>
      </c>
      <c r="S21" s="32" t="str">
        <f>ENGLISH!K23</f>
        <v>PASS</v>
      </c>
      <c r="T21" s="32">
        <f>MATHS!E23</f>
        <v>44</v>
      </c>
      <c r="U21" s="32">
        <f>MATHS!G23</f>
        <v>0</v>
      </c>
      <c r="V21" s="32">
        <f>MATHS!H23</f>
        <v>44</v>
      </c>
      <c r="W21" s="32">
        <f>MATHS!I23</f>
        <v>11</v>
      </c>
      <c r="X21" s="32">
        <f>MATHS!J23</f>
        <v>7</v>
      </c>
      <c r="Y21" s="32" t="str">
        <f>MATHS!K23</f>
        <v>PASS</v>
      </c>
      <c r="Z21" s="32">
        <f>SCIENCE!E23</f>
        <v>44</v>
      </c>
      <c r="AA21" s="32">
        <f>SCIENCE!G23</f>
        <v>0</v>
      </c>
      <c r="AB21" s="32">
        <f>SCIENCE!H23</f>
        <v>44</v>
      </c>
      <c r="AC21" s="32">
        <f>SCIENCE!I23</f>
        <v>11</v>
      </c>
      <c r="AD21" s="32">
        <f>SCIENCE!J23</f>
        <v>7</v>
      </c>
      <c r="AE21" s="32" t="str">
        <f>SCIENCE!K23</f>
        <v>PASS</v>
      </c>
      <c r="AF21" s="32">
        <f>SOCIAL!E23</f>
        <v>44</v>
      </c>
      <c r="AG21" s="32">
        <f>SOCIAL!G23</f>
        <v>0</v>
      </c>
      <c r="AH21" s="32">
        <f>SOCIAL!H23</f>
        <v>44</v>
      </c>
      <c r="AI21" s="32">
        <f>SOCIAL!I23</f>
        <v>11</v>
      </c>
      <c r="AJ21" s="32">
        <f>SOCIAL!J23</f>
        <v>7</v>
      </c>
      <c r="AK21" s="32" t="str">
        <f>SOCIAL!K23</f>
        <v>PASS</v>
      </c>
      <c r="AL21" s="32">
        <f>'R.M.E'!E23</f>
        <v>0</v>
      </c>
      <c r="AM21" s="32">
        <f>'R.M.E'!G23</f>
        <v>0</v>
      </c>
      <c r="AN21" s="32">
        <f>'R.M.E'!H23</f>
        <v>0</v>
      </c>
      <c r="AO21" s="32">
        <f>'R.M.E'!I23</f>
        <v>2</v>
      </c>
      <c r="AP21" s="32">
        <f>'R.M.E'!J23</f>
        <v>9</v>
      </c>
      <c r="AQ21" s="32" t="str">
        <f>'R.M.E'!K23</f>
        <v>FAIL</v>
      </c>
      <c r="AR21" s="32">
        <f>COMPUTING!E23</f>
        <v>0</v>
      </c>
      <c r="AS21" s="32">
        <f>COMPUTING!G23</f>
        <v>0</v>
      </c>
      <c r="AT21" s="32">
        <f>COMPUTING!H23</f>
        <v>0</v>
      </c>
      <c r="AU21" s="32">
        <f>COMPUTING!I23</f>
        <v>2</v>
      </c>
      <c r="AV21" s="32">
        <f>COMPUTING!J23</f>
        <v>9</v>
      </c>
      <c r="AW21" s="32" t="str">
        <f>COMPUTING!K23</f>
        <v>FAIL</v>
      </c>
      <c r="AX21" s="32">
        <f>CAD!E23</f>
        <v>0</v>
      </c>
      <c r="AY21" s="32">
        <f>CAD!G23</f>
        <v>0</v>
      </c>
      <c r="AZ21" s="32">
        <f>CAD!H23</f>
        <v>0</v>
      </c>
      <c r="BA21" s="32">
        <f>CAD!I23</f>
        <v>2</v>
      </c>
      <c r="BB21" s="32">
        <f>CAD!J23</f>
        <v>9</v>
      </c>
      <c r="BC21" s="32" t="str">
        <f>CAD!K23</f>
        <v>FAIL</v>
      </c>
      <c r="BD21" s="32">
        <f>CAREER!E23</f>
        <v>0</v>
      </c>
      <c r="BE21" s="32">
        <f>CAREER!G23</f>
        <v>0</v>
      </c>
      <c r="BF21" s="32">
        <f>CAREER!H23</f>
        <v>0</v>
      </c>
      <c r="BG21" s="32">
        <f>CAREER!I23</f>
        <v>2</v>
      </c>
      <c r="BH21" s="32">
        <f>CAREER!J23</f>
        <v>9</v>
      </c>
      <c r="BI21" s="32" t="str">
        <f>CAREER!K23</f>
        <v>FAIL</v>
      </c>
      <c r="BJ21" s="32">
        <f>FANTE!E23</f>
        <v>0</v>
      </c>
      <c r="BK21" s="32">
        <f>FANTE!G23</f>
        <v>0</v>
      </c>
      <c r="BL21" s="32">
        <f>FANTE!H23</f>
        <v>0</v>
      </c>
      <c r="BM21" s="32">
        <f>FANTE!I23</f>
        <v>2</v>
      </c>
      <c r="BN21" s="32">
        <f>FANTE!J23</f>
        <v>9</v>
      </c>
      <c r="BO21" s="32" t="str">
        <f>FANTE!K23</f>
        <v>FAIL</v>
      </c>
      <c r="BP21" s="66">
        <f t="shared" si="3"/>
        <v>176</v>
      </c>
      <c r="BQ21" s="83" t="str">
        <f t="shared" si="4"/>
        <v>11th</v>
      </c>
      <c r="BR21" s="32" t="str">
        <f>VLOOKUP(BP21,'GRADING SYSTEM'!$A$1:$P$10,2)</f>
        <v>Below average, must buck up.</v>
      </c>
      <c r="BS21" s="32" t="str">
        <f>VLOOKUP(BP21,'GRADING SYSTEM'!$A$1:$P$10,10)</f>
        <v>Below average, you must work hard. There is the need for parental support.</v>
      </c>
      <c r="BT21" s="32" t="str">
        <f t="shared" si="0"/>
        <v>MENSAH KWASI BLESS</v>
      </c>
      <c r="BU21" s="32"/>
      <c r="BV21" s="32"/>
      <c r="BW21" s="32">
        <f t="shared" si="5"/>
        <v>7</v>
      </c>
      <c r="BX21" s="32">
        <f t="shared" si="6"/>
        <v>7</v>
      </c>
      <c r="BY21" s="32">
        <f t="shared" si="7"/>
        <v>7</v>
      </c>
      <c r="BZ21" s="32">
        <f t="shared" si="8"/>
        <v>7</v>
      </c>
      <c r="CA21" s="32">
        <f t="shared" si="9"/>
        <v>9</v>
      </c>
      <c r="CB21" s="32">
        <f t="shared" si="10"/>
        <v>9</v>
      </c>
      <c r="CC21" s="32">
        <f>CAD!J23</f>
        <v>9</v>
      </c>
      <c r="CD21" s="32">
        <f t="shared" si="11"/>
        <v>9</v>
      </c>
      <c r="CE21" s="32">
        <f t="shared" si="12"/>
        <v>9</v>
      </c>
      <c r="CF21" s="67">
        <f>SUM((SMALL(BW21:CE21,{1,2,3,5,5,6})))</f>
        <v>48</v>
      </c>
      <c r="CG21" s="32" t="s">
        <v>138</v>
      </c>
      <c r="CH21" s="82" t="s">
        <v>164</v>
      </c>
      <c r="CI21" s="82" t="s">
        <v>190</v>
      </c>
      <c r="CJ21" s="32" t="str">
        <f t="shared" si="1"/>
        <v>MENSAH KWASI BLESS</v>
      </c>
      <c r="CK21" s="33"/>
      <c r="CL21" s="33"/>
      <c r="CM21" s="33"/>
      <c r="CN21" s="33" t="s">
        <v>113</v>
      </c>
      <c r="CO21" s="33"/>
      <c r="CP21" s="33"/>
      <c r="CQ21" s="33" t="s">
        <v>113</v>
      </c>
      <c r="CR21" s="33"/>
      <c r="CS21" s="33" t="s">
        <v>113</v>
      </c>
      <c r="CT21" s="33"/>
      <c r="CU21" s="33"/>
      <c r="CV21" s="33"/>
      <c r="CW21" s="33"/>
      <c r="CX21" s="33" t="s">
        <v>113</v>
      </c>
      <c r="CY21" s="33"/>
      <c r="CZ21" s="33"/>
      <c r="DA21" s="33"/>
      <c r="DB21" s="33" t="s">
        <v>113</v>
      </c>
      <c r="DC21" s="33"/>
      <c r="DD21" s="33"/>
      <c r="DE21" s="33"/>
      <c r="DF21" s="33"/>
      <c r="DG21" s="33" t="s">
        <v>113</v>
      </c>
      <c r="DH21" s="33"/>
    </row>
    <row r="22" spans="1:112" ht="26.25" customHeight="1" thickBot="1" x14ac:dyDescent="0.3">
      <c r="A22" s="63" t="str">
        <f>'Info List'!A23</f>
        <v>BHS9021</v>
      </c>
      <c r="B22" s="64" t="str">
        <f>'Info List'!B23</f>
        <v>MENSAH SHADRACK</v>
      </c>
      <c r="C22" s="35">
        <f>'Info List'!C23</f>
        <v>9</v>
      </c>
      <c r="D22" s="41">
        <f>'Info List'!$D$3</f>
        <v>29</v>
      </c>
      <c r="E22" s="32" t="s">
        <v>135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f t="shared" si="2"/>
        <v>0</v>
      </c>
      <c r="L22" s="32">
        <f>'Info List'!F23</f>
        <v>0</v>
      </c>
      <c r="M22" s="34">
        <f>'Info List'!$G$3</f>
        <v>0</v>
      </c>
      <c r="N22" s="32">
        <f>ENGLISH!E24</f>
        <v>44.5</v>
      </c>
      <c r="O22" s="32">
        <f>ENGLISH!G24</f>
        <v>0</v>
      </c>
      <c r="P22" s="32">
        <f>ENGLISH!H24</f>
        <v>44.5</v>
      </c>
      <c r="Q22" s="32">
        <f>ENGLISH!I24</f>
        <v>10</v>
      </c>
      <c r="R22" s="32">
        <f>ENGLISH!J24</f>
        <v>7</v>
      </c>
      <c r="S22" s="32" t="str">
        <f>ENGLISH!K24</f>
        <v>PASS</v>
      </c>
      <c r="T22" s="32">
        <f>MATHS!E24</f>
        <v>44.5</v>
      </c>
      <c r="U22" s="32">
        <f>MATHS!G24</f>
        <v>0</v>
      </c>
      <c r="V22" s="32">
        <f>MATHS!H24</f>
        <v>44.5</v>
      </c>
      <c r="W22" s="32">
        <f>MATHS!I24</f>
        <v>10</v>
      </c>
      <c r="X22" s="32">
        <f>MATHS!J24</f>
        <v>7</v>
      </c>
      <c r="Y22" s="32" t="str">
        <f>MATHS!K24</f>
        <v>PASS</v>
      </c>
      <c r="Z22" s="32">
        <f>SCIENCE!E24</f>
        <v>44.5</v>
      </c>
      <c r="AA22" s="32">
        <f>SCIENCE!G24</f>
        <v>0</v>
      </c>
      <c r="AB22" s="32">
        <f>SCIENCE!H24</f>
        <v>44.5</v>
      </c>
      <c r="AC22" s="32">
        <f>SCIENCE!I24</f>
        <v>10</v>
      </c>
      <c r="AD22" s="32">
        <f>SCIENCE!J24</f>
        <v>7</v>
      </c>
      <c r="AE22" s="32" t="str">
        <f>SCIENCE!K24</f>
        <v>PASS</v>
      </c>
      <c r="AF22" s="32">
        <f>SOCIAL!E24</f>
        <v>44.5</v>
      </c>
      <c r="AG22" s="32">
        <f>SOCIAL!G24</f>
        <v>0</v>
      </c>
      <c r="AH22" s="32">
        <f>SOCIAL!H24</f>
        <v>44.5</v>
      </c>
      <c r="AI22" s="32">
        <f>SOCIAL!I24</f>
        <v>10</v>
      </c>
      <c r="AJ22" s="32">
        <f>SOCIAL!J24</f>
        <v>7</v>
      </c>
      <c r="AK22" s="32" t="str">
        <f>SOCIAL!K24</f>
        <v>PASS</v>
      </c>
      <c r="AL22" s="32">
        <f>'R.M.E'!E24</f>
        <v>0</v>
      </c>
      <c r="AM22" s="32">
        <f>'R.M.E'!G24</f>
        <v>0</v>
      </c>
      <c r="AN22" s="32">
        <f>'R.M.E'!H24</f>
        <v>0</v>
      </c>
      <c r="AO22" s="32">
        <f>'R.M.E'!I24</f>
        <v>2</v>
      </c>
      <c r="AP22" s="32">
        <f>'R.M.E'!J24</f>
        <v>9</v>
      </c>
      <c r="AQ22" s="32" t="str">
        <f>'R.M.E'!K24</f>
        <v>FAIL</v>
      </c>
      <c r="AR22" s="32">
        <f>COMPUTING!E24</f>
        <v>0</v>
      </c>
      <c r="AS22" s="32">
        <f>COMPUTING!G24</f>
        <v>0</v>
      </c>
      <c r="AT22" s="32">
        <f>COMPUTING!H24</f>
        <v>0</v>
      </c>
      <c r="AU22" s="32">
        <f>COMPUTING!I24</f>
        <v>2</v>
      </c>
      <c r="AV22" s="32">
        <f>COMPUTING!J24</f>
        <v>9</v>
      </c>
      <c r="AW22" s="32" t="str">
        <f>COMPUTING!K24</f>
        <v>FAIL</v>
      </c>
      <c r="AX22" s="32">
        <f>CAD!E24</f>
        <v>0</v>
      </c>
      <c r="AY22" s="32">
        <f>CAD!G24</f>
        <v>0</v>
      </c>
      <c r="AZ22" s="32">
        <f>CAD!H24</f>
        <v>0</v>
      </c>
      <c r="BA22" s="32">
        <f>CAD!I24</f>
        <v>2</v>
      </c>
      <c r="BB22" s="32">
        <f>CAD!J24</f>
        <v>9</v>
      </c>
      <c r="BC22" s="32" t="str">
        <f>CAD!K24</f>
        <v>FAIL</v>
      </c>
      <c r="BD22" s="32">
        <f>CAREER!E24</f>
        <v>0</v>
      </c>
      <c r="BE22" s="32">
        <f>CAREER!G24</f>
        <v>0</v>
      </c>
      <c r="BF22" s="32">
        <f>CAREER!H24</f>
        <v>0</v>
      </c>
      <c r="BG22" s="32">
        <f>CAREER!I24</f>
        <v>2</v>
      </c>
      <c r="BH22" s="32">
        <f>CAREER!J24</f>
        <v>9</v>
      </c>
      <c r="BI22" s="32" t="str">
        <f>CAREER!K24</f>
        <v>FAIL</v>
      </c>
      <c r="BJ22" s="32">
        <f>FANTE!E24</f>
        <v>0</v>
      </c>
      <c r="BK22" s="32">
        <f>FANTE!G24</f>
        <v>0</v>
      </c>
      <c r="BL22" s="32">
        <f>FANTE!H24</f>
        <v>0</v>
      </c>
      <c r="BM22" s="32">
        <f>FANTE!I24</f>
        <v>2</v>
      </c>
      <c r="BN22" s="32">
        <f>FANTE!J24</f>
        <v>9</v>
      </c>
      <c r="BO22" s="32" t="str">
        <f>FANTE!K24</f>
        <v>FAIL</v>
      </c>
      <c r="BP22" s="66">
        <f t="shared" si="3"/>
        <v>178</v>
      </c>
      <c r="BQ22" s="83" t="str">
        <f t="shared" si="4"/>
        <v>10th</v>
      </c>
      <c r="BR22" s="32" t="str">
        <f>VLOOKUP(BP22,'GRADING SYSTEM'!$A$1:$P$10,2)</f>
        <v>Below average, must buck up.</v>
      </c>
      <c r="BS22" s="32" t="str">
        <f>VLOOKUP(BP22,'GRADING SYSTEM'!$A$1:$P$10,10)</f>
        <v>Below average, you must work hard. There is the need for parental support.</v>
      </c>
      <c r="BT22" s="32" t="str">
        <f t="shared" si="0"/>
        <v>MENSAH SHADRACK</v>
      </c>
      <c r="BU22" s="32"/>
      <c r="BV22" s="32"/>
      <c r="BW22" s="32">
        <f t="shared" si="5"/>
        <v>7</v>
      </c>
      <c r="BX22" s="32">
        <f t="shared" si="6"/>
        <v>7</v>
      </c>
      <c r="BY22" s="32">
        <f t="shared" si="7"/>
        <v>7</v>
      </c>
      <c r="BZ22" s="32">
        <f t="shared" si="8"/>
        <v>7</v>
      </c>
      <c r="CA22" s="32">
        <f t="shared" si="9"/>
        <v>9</v>
      </c>
      <c r="CB22" s="32">
        <f t="shared" si="10"/>
        <v>9</v>
      </c>
      <c r="CC22" s="32">
        <f>CAD!J24</f>
        <v>9</v>
      </c>
      <c r="CD22" s="32">
        <f t="shared" si="11"/>
        <v>9</v>
      </c>
      <c r="CE22" s="32">
        <f t="shared" si="12"/>
        <v>9</v>
      </c>
      <c r="CF22" s="67">
        <f>SUM((SMALL(BW22:CE22,{1,2,3,5,5,6})))</f>
        <v>48</v>
      </c>
      <c r="CG22" s="32" t="s">
        <v>138</v>
      </c>
      <c r="CH22" s="82" t="s">
        <v>165</v>
      </c>
      <c r="CI22" s="82" t="s">
        <v>191</v>
      </c>
      <c r="CJ22" s="32" t="str">
        <f t="shared" si="1"/>
        <v>MENSAH SHADRACK</v>
      </c>
      <c r="CK22" s="33"/>
      <c r="CL22" s="33"/>
      <c r="CM22" s="33"/>
      <c r="CN22" s="33" t="s">
        <v>113</v>
      </c>
      <c r="CO22" s="33"/>
      <c r="CP22" s="33"/>
      <c r="CQ22" s="33" t="s">
        <v>113</v>
      </c>
      <c r="CR22" s="33"/>
      <c r="CS22" s="33" t="s">
        <v>113</v>
      </c>
      <c r="CT22" s="33"/>
      <c r="CU22" s="33"/>
      <c r="CV22" s="33"/>
      <c r="CW22" s="33"/>
      <c r="CX22" s="33" t="s">
        <v>113</v>
      </c>
      <c r="CY22" s="33"/>
      <c r="CZ22" s="33"/>
      <c r="DA22" s="33"/>
      <c r="DB22" s="33" t="s">
        <v>113</v>
      </c>
      <c r="DC22" s="33"/>
      <c r="DD22" s="33"/>
      <c r="DE22" s="33"/>
      <c r="DF22" s="33"/>
      <c r="DG22" s="33" t="s">
        <v>113</v>
      </c>
      <c r="DH22" s="33"/>
    </row>
    <row r="23" spans="1:112" ht="25.5" customHeight="1" thickBot="1" x14ac:dyDescent="0.3">
      <c r="A23" s="63" t="str">
        <f>'Info List'!A24</f>
        <v>BHS9022</v>
      </c>
      <c r="B23" s="64" t="str">
        <f>'Info List'!B24</f>
        <v>OFORI RODLYNE NANA ADOMA</v>
      </c>
      <c r="C23" s="35">
        <f>'Info List'!C24</f>
        <v>9</v>
      </c>
      <c r="D23" s="41">
        <f>'Info List'!$D$3</f>
        <v>29</v>
      </c>
      <c r="E23" s="32" t="s">
        <v>135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f t="shared" si="2"/>
        <v>0</v>
      </c>
      <c r="L23" s="32">
        <f>'Info List'!F24</f>
        <v>0</v>
      </c>
      <c r="M23" s="34">
        <f>'Info List'!$G$3</f>
        <v>0</v>
      </c>
      <c r="N23" s="32">
        <f>ENGLISH!E25</f>
        <v>45</v>
      </c>
      <c r="O23" s="32">
        <f>ENGLISH!G25</f>
        <v>0</v>
      </c>
      <c r="P23" s="32">
        <f>ENGLISH!H25</f>
        <v>45</v>
      </c>
      <c r="Q23" s="32">
        <f>ENGLISH!I25</f>
        <v>9</v>
      </c>
      <c r="R23" s="32">
        <f>ENGLISH!J25</f>
        <v>6</v>
      </c>
      <c r="S23" s="32" t="str">
        <f>ENGLISH!K25</f>
        <v>LOW AVERAGE</v>
      </c>
      <c r="T23" s="32">
        <f>MATHS!E25</f>
        <v>45</v>
      </c>
      <c r="U23" s="32">
        <f>MATHS!G25</f>
        <v>0</v>
      </c>
      <c r="V23" s="32">
        <f>MATHS!H25</f>
        <v>45</v>
      </c>
      <c r="W23" s="32">
        <f>MATHS!I25</f>
        <v>9</v>
      </c>
      <c r="X23" s="32">
        <f>MATHS!J25</f>
        <v>6</v>
      </c>
      <c r="Y23" s="32" t="str">
        <f>MATHS!K25</f>
        <v>LOW AVERAGE</v>
      </c>
      <c r="Z23" s="32">
        <f>SCIENCE!E25</f>
        <v>45</v>
      </c>
      <c r="AA23" s="32">
        <f>SCIENCE!G25</f>
        <v>0</v>
      </c>
      <c r="AB23" s="32">
        <f>SCIENCE!H25</f>
        <v>45</v>
      </c>
      <c r="AC23" s="32">
        <f>SCIENCE!I25</f>
        <v>9</v>
      </c>
      <c r="AD23" s="32">
        <f>SCIENCE!J25</f>
        <v>6</v>
      </c>
      <c r="AE23" s="32" t="str">
        <f>SCIENCE!K25</f>
        <v>LOW AVERAGE</v>
      </c>
      <c r="AF23" s="32">
        <f>SOCIAL!E25</f>
        <v>45</v>
      </c>
      <c r="AG23" s="32">
        <f>SOCIAL!G25</f>
        <v>0</v>
      </c>
      <c r="AH23" s="32">
        <f>SOCIAL!H25</f>
        <v>45</v>
      </c>
      <c r="AI23" s="32">
        <f>SOCIAL!I25</f>
        <v>9</v>
      </c>
      <c r="AJ23" s="32">
        <f>SOCIAL!J25</f>
        <v>6</v>
      </c>
      <c r="AK23" s="32" t="str">
        <f>SOCIAL!K25</f>
        <v>LOW AVERAGE</v>
      </c>
      <c r="AL23" s="32">
        <f>'R.M.E'!E25</f>
        <v>0</v>
      </c>
      <c r="AM23" s="32">
        <f>'R.M.E'!G25</f>
        <v>0</v>
      </c>
      <c r="AN23" s="32">
        <f>'R.M.E'!H25</f>
        <v>0</v>
      </c>
      <c r="AO23" s="32">
        <f>'R.M.E'!I25</f>
        <v>2</v>
      </c>
      <c r="AP23" s="32">
        <f>'R.M.E'!J25</f>
        <v>9</v>
      </c>
      <c r="AQ23" s="32" t="str">
        <f>'R.M.E'!K25</f>
        <v>FAIL</v>
      </c>
      <c r="AR23" s="32">
        <f>COMPUTING!E25</f>
        <v>0</v>
      </c>
      <c r="AS23" s="32">
        <f>COMPUTING!G25</f>
        <v>0</v>
      </c>
      <c r="AT23" s="32">
        <f>COMPUTING!H25</f>
        <v>0</v>
      </c>
      <c r="AU23" s="32">
        <f>COMPUTING!I25</f>
        <v>2</v>
      </c>
      <c r="AV23" s="32">
        <f>COMPUTING!J25</f>
        <v>9</v>
      </c>
      <c r="AW23" s="32" t="str">
        <f>COMPUTING!K25</f>
        <v>FAIL</v>
      </c>
      <c r="AX23" s="32">
        <f>CAD!E25</f>
        <v>0</v>
      </c>
      <c r="AY23" s="32">
        <f>CAD!G25</f>
        <v>0</v>
      </c>
      <c r="AZ23" s="32">
        <f>CAD!H25</f>
        <v>0</v>
      </c>
      <c r="BA23" s="32">
        <f>CAD!I25</f>
        <v>2</v>
      </c>
      <c r="BB23" s="32">
        <f>CAD!J25</f>
        <v>9</v>
      </c>
      <c r="BC23" s="32" t="str">
        <f>CAD!K25</f>
        <v>FAIL</v>
      </c>
      <c r="BD23" s="32">
        <f>CAREER!E25</f>
        <v>0</v>
      </c>
      <c r="BE23" s="32">
        <f>CAREER!G25</f>
        <v>0</v>
      </c>
      <c r="BF23" s="32">
        <f>CAREER!H25</f>
        <v>0</v>
      </c>
      <c r="BG23" s="32">
        <f>CAREER!I25</f>
        <v>2</v>
      </c>
      <c r="BH23" s="32">
        <f>CAREER!J25</f>
        <v>9</v>
      </c>
      <c r="BI23" s="32" t="str">
        <f>CAREER!K25</f>
        <v>FAIL</v>
      </c>
      <c r="BJ23" s="32">
        <f>FANTE!E25</f>
        <v>0</v>
      </c>
      <c r="BK23" s="32">
        <f>FANTE!G25</f>
        <v>0</v>
      </c>
      <c r="BL23" s="32">
        <f>FANTE!H25</f>
        <v>0</v>
      </c>
      <c r="BM23" s="32">
        <f>FANTE!I25</f>
        <v>2</v>
      </c>
      <c r="BN23" s="32">
        <f>FANTE!J25</f>
        <v>9</v>
      </c>
      <c r="BO23" s="32" t="str">
        <f>FANTE!K25</f>
        <v>FAIL</v>
      </c>
      <c r="BP23" s="66">
        <f t="shared" si="3"/>
        <v>180</v>
      </c>
      <c r="BQ23" s="83" t="str">
        <f t="shared" si="4"/>
        <v>9th</v>
      </c>
      <c r="BR23" s="32" t="str">
        <f>VLOOKUP(BP23,'GRADING SYSTEM'!$A$1:$P$10,2)</f>
        <v>Below average, must buck up.</v>
      </c>
      <c r="BS23" s="32" t="str">
        <f>VLOOKUP(BP23,'GRADING SYSTEM'!$A$1:$P$10,10)</f>
        <v>Below average, you must work hard. There is the need for parental support.</v>
      </c>
      <c r="BT23" s="32" t="str">
        <f t="shared" si="0"/>
        <v>OFORI RODLYNE NANA ADOMA</v>
      </c>
      <c r="BU23" s="34"/>
      <c r="BV23" s="32"/>
      <c r="BW23" s="32">
        <f t="shared" si="5"/>
        <v>6</v>
      </c>
      <c r="BX23" s="32">
        <f t="shared" si="6"/>
        <v>6</v>
      </c>
      <c r="BY23" s="32">
        <f t="shared" si="7"/>
        <v>6</v>
      </c>
      <c r="BZ23" s="32">
        <f t="shared" si="8"/>
        <v>6</v>
      </c>
      <c r="CA23" s="32">
        <f t="shared" si="9"/>
        <v>9</v>
      </c>
      <c r="CB23" s="32">
        <f t="shared" si="10"/>
        <v>9</v>
      </c>
      <c r="CC23" s="32">
        <f>CAD!J25</f>
        <v>9</v>
      </c>
      <c r="CD23" s="32">
        <f t="shared" si="11"/>
        <v>9</v>
      </c>
      <c r="CE23" s="32">
        <f t="shared" si="12"/>
        <v>9</v>
      </c>
      <c r="CF23" s="67">
        <f>SUM((SMALL(BW23:CE23,{1,2,3,5,5,6})))</f>
        <v>45</v>
      </c>
      <c r="CG23" s="32" t="s">
        <v>138</v>
      </c>
      <c r="CH23" s="82" t="s">
        <v>166</v>
      </c>
      <c r="CI23" s="82" t="s">
        <v>192</v>
      </c>
      <c r="CJ23" s="32" t="str">
        <f t="shared" si="1"/>
        <v>OFORI RODLYNE NANA ADOMA</v>
      </c>
      <c r="CK23" s="33"/>
      <c r="CL23" s="33"/>
      <c r="CM23" s="33"/>
      <c r="CN23" s="33" t="s">
        <v>113</v>
      </c>
      <c r="CO23" s="33"/>
      <c r="CP23" s="33"/>
      <c r="CQ23" s="33" t="s">
        <v>113</v>
      </c>
      <c r="CR23" s="33"/>
      <c r="CS23" s="33" t="s">
        <v>113</v>
      </c>
      <c r="CT23" s="33"/>
      <c r="CU23" s="33"/>
      <c r="CV23" s="33"/>
      <c r="CW23" s="33"/>
      <c r="CX23" s="33" t="s">
        <v>113</v>
      </c>
      <c r="CY23" s="33"/>
      <c r="CZ23" s="33"/>
      <c r="DA23" s="33"/>
      <c r="DB23" s="33" t="s">
        <v>113</v>
      </c>
      <c r="DC23" s="33"/>
      <c r="DD23" s="33"/>
      <c r="DE23" s="33"/>
      <c r="DF23" s="33"/>
      <c r="DG23" s="33" t="s">
        <v>113</v>
      </c>
      <c r="DH23" s="33"/>
    </row>
    <row r="24" spans="1:112" ht="24" customHeight="1" thickBot="1" x14ac:dyDescent="0.3">
      <c r="A24" s="63" t="str">
        <f>'Info List'!A25</f>
        <v>BHS9023</v>
      </c>
      <c r="B24" s="64" t="str">
        <f>'Info List'!B25</f>
        <v>OPOKU JOEL ODURO SARPONG</v>
      </c>
      <c r="C24" s="35">
        <f>'Info List'!C25</f>
        <v>9</v>
      </c>
      <c r="D24" s="41">
        <f>'Info List'!$D$3</f>
        <v>29</v>
      </c>
      <c r="E24" s="32" t="s">
        <v>135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f t="shared" si="2"/>
        <v>0</v>
      </c>
      <c r="L24" s="32">
        <f>'Info List'!F25</f>
        <v>0</v>
      </c>
      <c r="M24" s="34">
        <f>'Info List'!$G$3</f>
        <v>0</v>
      </c>
      <c r="N24" s="32">
        <f>ENGLISH!E26</f>
        <v>45.5</v>
      </c>
      <c r="O24" s="32">
        <f>ENGLISH!G26</f>
        <v>0</v>
      </c>
      <c r="P24" s="32">
        <f>ENGLISH!H26</f>
        <v>45.5</v>
      </c>
      <c r="Q24" s="32">
        <f>ENGLISH!I26</f>
        <v>8</v>
      </c>
      <c r="R24" s="32">
        <f>ENGLISH!J26</f>
        <v>6</v>
      </c>
      <c r="S24" s="32" t="str">
        <f>ENGLISH!K26</f>
        <v>LOW AVERAGE</v>
      </c>
      <c r="T24" s="32">
        <f>MATHS!E26</f>
        <v>45.5</v>
      </c>
      <c r="U24" s="32">
        <f>MATHS!G26</f>
        <v>0</v>
      </c>
      <c r="V24" s="32">
        <f>MATHS!H26</f>
        <v>45.5</v>
      </c>
      <c r="W24" s="32">
        <f>MATHS!I26</f>
        <v>8</v>
      </c>
      <c r="X24" s="32">
        <f>MATHS!J26</f>
        <v>6</v>
      </c>
      <c r="Y24" s="32" t="str">
        <f>MATHS!K26</f>
        <v>LOW AVERAGE</v>
      </c>
      <c r="Z24" s="32">
        <f>SCIENCE!E26</f>
        <v>45.5</v>
      </c>
      <c r="AA24" s="32">
        <f>SCIENCE!G26</f>
        <v>0</v>
      </c>
      <c r="AB24" s="32">
        <f>SCIENCE!H26</f>
        <v>45.5</v>
      </c>
      <c r="AC24" s="32">
        <f>SCIENCE!I26</f>
        <v>8</v>
      </c>
      <c r="AD24" s="32">
        <f>SCIENCE!J26</f>
        <v>6</v>
      </c>
      <c r="AE24" s="32" t="str">
        <f>SCIENCE!K26</f>
        <v>LOW AVERAGE</v>
      </c>
      <c r="AF24" s="32">
        <f>SOCIAL!E26</f>
        <v>45.5</v>
      </c>
      <c r="AG24" s="32">
        <f>SOCIAL!G26</f>
        <v>0</v>
      </c>
      <c r="AH24" s="32">
        <f>SOCIAL!H26</f>
        <v>45.5</v>
      </c>
      <c r="AI24" s="32">
        <f>SOCIAL!I26</f>
        <v>8</v>
      </c>
      <c r="AJ24" s="32">
        <f>SOCIAL!J26</f>
        <v>6</v>
      </c>
      <c r="AK24" s="32" t="str">
        <f>SOCIAL!K26</f>
        <v>LOW AVERAGE</v>
      </c>
      <c r="AL24" s="32">
        <f>'R.M.E'!E26</f>
        <v>0</v>
      </c>
      <c r="AM24" s="32">
        <f>'R.M.E'!G26</f>
        <v>0</v>
      </c>
      <c r="AN24" s="32">
        <f>'R.M.E'!H26</f>
        <v>0</v>
      </c>
      <c r="AO24" s="32">
        <f>'R.M.E'!I26</f>
        <v>2</v>
      </c>
      <c r="AP24" s="32">
        <f>'R.M.E'!J26</f>
        <v>9</v>
      </c>
      <c r="AQ24" s="32" t="str">
        <f>'R.M.E'!K26</f>
        <v>FAIL</v>
      </c>
      <c r="AR24" s="32">
        <f>COMPUTING!E26</f>
        <v>0</v>
      </c>
      <c r="AS24" s="32">
        <f>COMPUTING!G26</f>
        <v>0</v>
      </c>
      <c r="AT24" s="32">
        <f>COMPUTING!H26</f>
        <v>0</v>
      </c>
      <c r="AU24" s="32">
        <f>COMPUTING!I26</f>
        <v>2</v>
      </c>
      <c r="AV24" s="32">
        <f>COMPUTING!J26</f>
        <v>9</v>
      </c>
      <c r="AW24" s="32" t="str">
        <f>COMPUTING!K26</f>
        <v>FAIL</v>
      </c>
      <c r="AX24" s="32">
        <f>CAD!E26</f>
        <v>0</v>
      </c>
      <c r="AY24" s="32">
        <f>CAD!G26</f>
        <v>0</v>
      </c>
      <c r="AZ24" s="32">
        <f>CAD!H26</f>
        <v>0</v>
      </c>
      <c r="BA24" s="32">
        <f>CAD!I26</f>
        <v>2</v>
      </c>
      <c r="BB24" s="32">
        <f>CAD!J26</f>
        <v>9</v>
      </c>
      <c r="BC24" s="32" t="str">
        <f>CAD!K26</f>
        <v>FAIL</v>
      </c>
      <c r="BD24" s="32">
        <f>CAREER!E26</f>
        <v>0</v>
      </c>
      <c r="BE24" s="32">
        <f>CAREER!G26</f>
        <v>0</v>
      </c>
      <c r="BF24" s="32">
        <f>CAREER!H26</f>
        <v>0</v>
      </c>
      <c r="BG24" s="32">
        <f>CAREER!I26</f>
        <v>2</v>
      </c>
      <c r="BH24" s="32">
        <f>CAREER!J26</f>
        <v>9</v>
      </c>
      <c r="BI24" s="32" t="str">
        <f>CAREER!K26</f>
        <v>FAIL</v>
      </c>
      <c r="BJ24" s="32">
        <f>FANTE!E26</f>
        <v>0</v>
      </c>
      <c r="BK24" s="32">
        <f>FANTE!G26</f>
        <v>0</v>
      </c>
      <c r="BL24" s="32">
        <f>FANTE!H26</f>
        <v>0</v>
      </c>
      <c r="BM24" s="32">
        <f>FANTE!I26</f>
        <v>2</v>
      </c>
      <c r="BN24" s="32">
        <f>FANTE!J26</f>
        <v>9</v>
      </c>
      <c r="BO24" s="32" t="str">
        <f>FANTE!K26</f>
        <v>FAIL</v>
      </c>
      <c r="BP24" s="66">
        <f t="shared" si="3"/>
        <v>182</v>
      </c>
      <c r="BQ24" s="83" t="str">
        <f t="shared" si="4"/>
        <v>8th</v>
      </c>
      <c r="BR24" s="32" t="str">
        <f>VLOOKUP(BP24,'GRADING SYSTEM'!$A$1:$P$10,2)</f>
        <v>Below average, must buck up.</v>
      </c>
      <c r="BS24" s="32" t="str">
        <f>VLOOKUP(BP24,'GRADING SYSTEM'!$A$1:$P$10,10)</f>
        <v>Below average, you must work hard. There is the need for parental support.</v>
      </c>
      <c r="BT24" s="32" t="str">
        <f t="shared" si="0"/>
        <v>OPOKU JOEL ODURO SARPONG</v>
      </c>
      <c r="BU24" s="34"/>
      <c r="BV24" s="32"/>
      <c r="BW24" s="32">
        <f t="shared" si="5"/>
        <v>6</v>
      </c>
      <c r="BX24" s="32">
        <f t="shared" si="6"/>
        <v>6</v>
      </c>
      <c r="BY24" s="32">
        <f t="shared" si="7"/>
        <v>6</v>
      </c>
      <c r="BZ24" s="32">
        <f t="shared" si="8"/>
        <v>6</v>
      </c>
      <c r="CA24" s="32">
        <f t="shared" si="9"/>
        <v>9</v>
      </c>
      <c r="CB24" s="32">
        <f t="shared" si="10"/>
        <v>9</v>
      </c>
      <c r="CC24" s="32">
        <f>CAD!J26</f>
        <v>9</v>
      </c>
      <c r="CD24" s="32">
        <f t="shared" si="11"/>
        <v>9</v>
      </c>
      <c r="CE24" s="32">
        <f t="shared" si="12"/>
        <v>9</v>
      </c>
      <c r="CF24" s="67">
        <f>SUM((SMALL(BW24:CE24,{1,2,3,5,5,6})))</f>
        <v>45</v>
      </c>
      <c r="CG24" s="32" t="s">
        <v>138</v>
      </c>
      <c r="CH24" s="82" t="s">
        <v>167</v>
      </c>
      <c r="CI24" s="82" t="s">
        <v>193</v>
      </c>
      <c r="CJ24" s="32" t="str">
        <f t="shared" si="1"/>
        <v>OPOKU JOEL ODURO SARPONG</v>
      </c>
      <c r="CK24" s="33"/>
      <c r="CL24" s="33"/>
      <c r="CM24" s="33"/>
      <c r="CN24" s="33" t="s">
        <v>113</v>
      </c>
      <c r="CO24" s="33"/>
      <c r="CP24" s="33"/>
      <c r="CQ24" s="33" t="s">
        <v>113</v>
      </c>
      <c r="CR24" s="33"/>
      <c r="CS24" s="33" t="s">
        <v>113</v>
      </c>
      <c r="CT24" s="33"/>
      <c r="CU24" s="33"/>
      <c r="CV24" s="33"/>
      <c r="CW24" s="33"/>
      <c r="CX24" s="33" t="s">
        <v>113</v>
      </c>
      <c r="CY24" s="33"/>
      <c r="CZ24" s="33"/>
      <c r="DA24" s="33"/>
      <c r="DB24" s="33" t="s">
        <v>113</v>
      </c>
      <c r="DC24" s="33"/>
      <c r="DD24" s="33"/>
      <c r="DE24" s="33"/>
      <c r="DF24" s="33"/>
      <c r="DG24" s="33" t="s">
        <v>113</v>
      </c>
      <c r="DH24" s="33"/>
    </row>
    <row r="25" spans="1:112" ht="24" thickBot="1" x14ac:dyDescent="0.3">
      <c r="A25" s="63" t="str">
        <f>'Info List'!A26</f>
        <v>BHS9024</v>
      </c>
      <c r="B25" s="64" t="str">
        <f>'Info List'!B26</f>
        <v>OPPONG NHYIRABA</v>
      </c>
      <c r="C25" s="35">
        <f>'Info List'!C26</f>
        <v>9</v>
      </c>
      <c r="D25" s="41">
        <f>'Info List'!$D$3</f>
        <v>29</v>
      </c>
      <c r="E25" s="32" t="s">
        <v>135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f t="shared" si="2"/>
        <v>0</v>
      </c>
      <c r="L25" s="32">
        <f>'Info List'!F26</f>
        <v>0</v>
      </c>
      <c r="M25" s="34">
        <f>'Info List'!$G$3</f>
        <v>0</v>
      </c>
      <c r="N25" s="32">
        <f>ENGLISH!E27</f>
        <v>46</v>
      </c>
      <c r="O25" s="32">
        <f>ENGLISH!G27</f>
        <v>0</v>
      </c>
      <c r="P25" s="32">
        <f>ENGLISH!H27</f>
        <v>46</v>
      </c>
      <c r="Q25" s="32">
        <f>ENGLISH!I27</f>
        <v>7</v>
      </c>
      <c r="R25" s="32">
        <f>ENGLISH!J27</f>
        <v>6</v>
      </c>
      <c r="S25" s="32" t="str">
        <f>ENGLISH!K27</f>
        <v>LOW AVERAGE</v>
      </c>
      <c r="T25" s="32">
        <f>MATHS!E27</f>
        <v>46</v>
      </c>
      <c r="U25" s="32">
        <f>MATHS!G27</f>
        <v>0</v>
      </c>
      <c r="V25" s="32">
        <f>MATHS!H27</f>
        <v>46</v>
      </c>
      <c r="W25" s="32">
        <f>MATHS!I27</f>
        <v>7</v>
      </c>
      <c r="X25" s="32">
        <f>MATHS!J27</f>
        <v>6</v>
      </c>
      <c r="Y25" s="32" t="str">
        <f>MATHS!K27</f>
        <v>LOW AVERAGE</v>
      </c>
      <c r="Z25" s="32">
        <f>SCIENCE!E27</f>
        <v>46</v>
      </c>
      <c r="AA25" s="32">
        <f>SCIENCE!G27</f>
        <v>0</v>
      </c>
      <c r="AB25" s="32">
        <f>SCIENCE!H27</f>
        <v>46</v>
      </c>
      <c r="AC25" s="32">
        <f>SCIENCE!I27</f>
        <v>7</v>
      </c>
      <c r="AD25" s="32">
        <f>SCIENCE!J27</f>
        <v>6</v>
      </c>
      <c r="AE25" s="32" t="str">
        <f>SCIENCE!K27</f>
        <v>LOW AVERAGE</v>
      </c>
      <c r="AF25" s="32">
        <f>SOCIAL!E27</f>
        <v>46</v>
      </c>
      <c r="AG25" s="32">
        <f>SOCIAL!G27</f>
        <v>0</v>
      </c>
      <c r="AH25" s="32">
        <f>SOCIAL!H27</f>
        <v>46</v>
      </c>
      <c r="AI25" s="32">
        <f>SOCIAL!I27</f>
        <v>7</v>
      </c>
      <c r="AJ25" s="32">
        <f>SOCIAL!J27</f>
        <v>6</v>
      </c>
      <c r="AK25" s="32" t="str">
        <f>SOCIAL!K27</f>
        <v>LOW AVERAGE</v>
      </c>
      <c r="AL25" s="32">
        <f>'R.M.E'!E27</f>
        <v>0</v>
      </c>
      <c r="AM25" s="32">
        <f>'R.M.E'!G27</f>
        <v>0</v>
      </c>
      <c r="AN25" s="32">
        <f>'R.M.E'!H27</f>
        <v>0</v>
      </c>
      <c r="AO25" s="32">
        <f>'R.M.E'!I27</f>
        <v>2</v>
      </c>
      <c r="AP25" s="32">
        <f>'R.M.E'!J27</f>
        <v>9</v>
      </c>
      <c r="AQ25" s="32" t="str">
        <f>'R.M.E'!K27</f>
        <v>FAIL</v>
      </c>
      <c r="AR25" s="32">
        <f>COMPUTING!E27</f>
        <v>0</v>
      </c>
      <c r="AS25" s="32">
        <f>COMPUTING!G27</f>
        <v>0</v>
      </c>
      <c r="AT25" s="32">
        <f>COMPUTING!H27</f>
        <v>0</v>
      </c>
      <c r="AU25" s="32">
        <f>COMPUTING!I27</f>
        <v>2</v>
      </c>
      <c r="AV25" s="32">
        <f>COMPUTING!J27</f>
        <v>9</v>
      </c>
      <c r="AW25" s="32" t="str">
        <f>COMPUTING!K27</f>
        <v>FAIL</v>
      </c>
      <c r="AX25" s="32">
        <f>CAD!E27</f>
        <v>0</v>
      </c>
      <c r="AY25" s="32">
        <f>CAD!G27</f>
        <v>0</v>
      </c>
      <c r="AZ25" s="32">
        <f>CAD!H27</f>
        <v>0</v>
      </c>
      <c r="BA25" s="32">
        <f>CAD!I27</f>
        <v>2</v>
      </c>
      <c r="BB25" s="32">
        <f>CAD!J27</f>
        <v>9</v>
      </c>
      <c r="BC25" s="32" t="str">
        <f>CAD!K27</f>
        <v>FAIL</v>
      </c>
      <c r="BD25" s="32">
        <f>CAREER!E27</f>
        <v>0</v>
      </c>
      <c r="BE25" s="32">
        <f>CAREER!G27</f>
        <v>0</v>
      </c>
      <c r="BF25" s="32">
        <f>CAREER!H27</f>
        <v>0</v>
      </c>
      <c r="BG25" s="32">
        <f>CAREER!I27</f>
        <v>2</v>
      </c>
      <c r="BH25" s="32">
        <f>CAREER!J27</f>
        <v>9</v>
      </c>
      <c r="BI25" s="32" t="str">
        <f>CAREER!K27</f>
        <v>FAIL</v>
      </c>
      <c r="BJ25" s="32">
        <f>FANTE!E27</f>
        <v>0</v>
      </c>
      <c r="BK25" s="32">
        <f>FANTE!G27</f>
        <v>0</v>
      </c>
      <c r="BL25" s="32">
        <f>FANTE!H27</f>
        <v>0</v>
      </c>
      <c r="BM25" s="32">
        <f>FANTE!I27</f>
        <v>2</v>
      </c>
      <c r="BN25" s="32">
        <f>FANTE!J27</f>
        <v>9</v>
      </c>
      <c r="BO25" s="32" t="str">
        <f>FANTE!K27</f>
        <v>FAIL</v>
      </c>
      <c r="BP25" s="66">
        <f t="shared" si="3"/>
        <v>184</v>
      </c>
      <c r="BQ25" s="83" t="str">
        <f t="shared" si="4"/>
        <v>7th</v>
      </c>
      <c r="BR25" s="32" t="str">
        <f>VLOOKUP(BP25,'GRADING SYSTEM'!$A$1:$P$10,2)</f>
        <v>Below average, must buck up.</v>
      </c>
      <c r="BS25" s="32" t="str">
        <f>VLOOKUP(BP25,'GRADING SYSTEM'!$A$1:$P$10,10)</f>
        <v>Below average, you must work hard. There is the need for parental support.</v>
      </c>
      <c r="BT25" s="32" t="str">
        <f t="shared" si="0"/>
        <v>OPPONG NHYIRABA</v>
      </c>
      <c r="BU25" s="34"/>
      <c r="BV25" s="32"/>
      <c r="BW25" s="32">
        <f t="shared" si="5"/>
        <v>6</v>
      </c>
      <c r="BX25" s="32">
        <f t="shared" si="6"/>
        <v>6</v>
      </c>
      <c r="BY25" s="32">
        <f t="shared" si="7"/>
        <v>6</v>
      </c>
      <c r="BZ25" s="32">
        <f t="shared" si="8"/>
        <v>6</v>
      </c>
      <c r="CA25" s="32">
        <f t="shared" si="9"/>
        <v>9</v>
      </c>
      <c r="CB25" s="32">
        <f t="shared" si="10"/>
        <v>9</v>
      </c>
      <c r="CC25" s="32">
        <f>CAD!J27</f>
        <v>9</v>
      </c>
      <c r="CD25" s="32">
        <f t="shared" si="11"/>
        <v>9</v>
      </c>
      <c r="CE25" s="32">
        <f t="shared" si="12"/>
        <v>9</v>
      </c>
      <c r="CF25" s="67">
        <f>SUM((SMALL(BW25:CE25,{1,2,3,5,5,6})))</f>
        <v>45</v>
      </c>
      <c r="CG25" s="32" t="s">
        <v>138</v>
      </c>
      <c r="CH25" s="82" t="s">
        <v>168</v>
      </c>
      <c r="CI25" s="82" t="s">
        <v>194</v>
      </c>
      <c r="CJ25" s="32" t="str">
        <f t="shared" si="1"/>
        <v>OPPONG NHYIRABA</v>
      </c>
      <c r="CK25" s="33"/>
      <c r="CL25" s="33"/>
      <c r="CM25" s="33"/>
      <c r="CN25" s="33" t="s">
        <v>113</v>
      </c>
      <c r="CO25" s="33"/>
      <c r="CP25" s="33"/>
      <c r="CQ25" s="33" t="s">
        <v>113</v>
      </c>
      <c r="CR25" s="33"/>
      <c r="CS25" s="33" t="s">
        <v>113</v>
      </c>
      <c r="CT25" s="33"/>
      <c r="CU25" s="33"/>
      <c r="CV25" s="33"/>
      <c r="CW25" s="33"/>
      <c r="CX25" s="33" t="s">
        <v>113</v>
      </c>
      <c r="CY25" s="33"/>
      <c r="CZ25" s="33"/>
      <c r="DA25" s="33"/>
      <c r="DB25" s="33" t="s">
        <v>113</v>
      </c>
      <c r="DC25" s="33"/>
      <c r="DD25" s="33"/>
      <c r="DE25" s="33"/>
      <c r="DF25" s="33"/>
      <c r="DG25" s="33" t="s">
        <v>113</v>
      </c>
      <c r="DH25" s="33"/>
    </row>
    <row r="26" spans="1:112" ht="24" thickBot="1" x14ac:dyDescent="0.3">
      <c r="A26" s="63" t="str">
        <f>'Info List'!A27</f>
        <v>BHS9025</v>
      </c>
      <c r="B26" s="64" t="str">
        <f>'Info List'!B27</f>
        <v>OPPONG NYAMEBA YAA</v>
      </c>
      <c r="C26" s="35">
        <f>'Info List'!C27</f>
        <v>9</v>
      </c>
      <c r="D26" s="41">
        <f>'Info List'!$D$3</f>
        <v>29</v>
      </c>
      <c r="E26" s="32" t="s">
        <v>135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f t="shared" si="2"/>
        <v>0</v>
      </c>
      <c r="L26" s="32">
        <f>'Info List'!F27</f>
        <v>0</v>
      </c>
      <c r="M26" s="34">
        <f>'Info List'!$G$3</f>
        <v>0</v>
      </c>
      <c r="N26" s="32">
        <f>ENGLISH!E28</f>
        <v>46.5</v>
      </c>
      <c r="O26" s="32">
        <f>ENGLISH!G28</f>
        <v>0</v>
      </c>
      <c r="P26" s="32">
        <f>ENGLISH!H28</f>
        <v>46.5</v>
      </c>
      <c r="Q26" s="32">
        <f>ENGLISH!I28</f>
        <v>6</v>
      </c>
      <c r="R26" s="32">
        <f>ENGLISH!J28</f>
        <v>6</v>
      </c>
      <c r="S26" s="32" t="str">
        <f>ENGLISH!K28</f>
        <v>LOW AVERAGE</v>
      </c>
      <c r="T26" s="32">
        <f>MATHS!E28</f>
        <v>46.5</v>
      </c>
      <c r="U26" s="32">
        <f>MATHS!G28</f>
        <v>0</v>
      </c>
      <c r="V26" s="32">
        <f>MATHS!H28</f>
        <v>46.5</v>
      </c>
      <c r="W26" s="32">
        <f>MATHS!I28</f>
        <v>6</v>
      </c>
      <c r="X26" s="32">
        <f>MATHS!J28</f>
        <v>6</v>
      </c>
      <c r="Y26" s="32" t="str">
        <f>MATHS!K28</f>
        <v>LOW AVERAGE</v>
      </c>
      <c r="Z26" s="32">
        <f>SCIENCE!E28</f>
        <v>46.5</v>
      </c>
      <c r="AA26" s="32">
        <f>SCIENCE!G28</f>
        <v>0</v>
      </c>
      <c r="AB26" s="32">
        <f>SCIENCE!H28</f>
        <v>46.5</v>
      </c>
      <c r="AC26" s="32">
        <f>SCIENCE!I28</f>
        <v>6</v>
      </c>
      <c r="AD26" s="32">
        <f>SCIENCE!J28</f>
        <v>6</v>
      </c>
      <c r="AE26" s="32" t="str">
        <f>SCIENCE!K28</f>
        <v>LOW AVERAGE</v>
      </c>
      <c r="AF26" s="32">
        <f>SOCIAL!E28</f>
        <v>46.5</v>
      </c>
      <c r="AG26" s="32">
        <f>SOCIAL!G28</f>
        <v>0</v>
      </c>
      <c r="AH26" s="32">
        <f>SOCIAL!H28</f>
        <v>46.5</v>
      </c>
      <c r="AI26" s="32">
        <f>SOCIAL!I28</f>
        <v>6</v>
      </c>
      <c r="AJ26" s="32">
        <f>SOCIAL!J28</f>
        <v>6</v>
      </c>
      <c r="AK26" s="32" t="str">
        <f>SOCIAL!K28</f>
        <v>LOW AVERAGE</v>
      </c>
      <c r="AL26" s="32">
        <f>'R.M.E'!E28</f>
        <v>0</v>
      </c>
      <c r="AM26" s="32">
        <f>'R.M.E'!G28</f>
        <v>0</v>
      </c>
      <c r="AN26" s="32">
        <f>'R.M.E'!H28</f>
        <v>0</v>
      </c>
      <c r="AO26" s="32">
        <f>'R.M.E'!I28</f>
        <v>2</v>
      </c>
      <c r="AP26" s="32">
        <f>'R.M.E'!J28</f>
        <v>9</v>
      </c>
      <c r="AQ26" s="32" t="str">
        <f>'R.M.E'!K28</f>
        <v>FAIL</v>
      </c>
      <c r="AR26" s="32">
        <f>COMPUTING!E28</f>
        <v>0</v>
      </c>
      <c r="AS26" s="32">
        <f>COMPUTING!G28</f>
        <v>0</v>
      </c>
      <c r="AT26" s="32">
        <f>COMPUTING!H28</f>
        <v>0</v>
      </c>
      <c r="AU26" s="32">
        <f>COMPUTING!I28</f>
        <v>2</v>
      </c>
      <c r="AV26" s="32">
        <f>COMPUTING!J28</f>
        <v>9</v>
      </c>
      <c r="AW26" s="32" t="str">
        <f>COMPUTING!K28</f>
        <v>FAIL</v>
      </c>
      <c r="AX26" s="32">
        <f>CAD!E28</f>
        <v>0</v>
      </c>
      <c r="AY26" s="32">
        <f>CAD!G28</f>
        <v>0</v>
      </c>
      <c r="AZ26" s="32">
        <f>CAD!H28</f>
        <v>0</v>
      </c>
      <c r="BA26" s="32">
        <f>CAD!I28</f>
        <v>2</v>
      </c>
      <c r="BB26" s="32">
        <f>CAD!J28</f>
        <v>9</v>
      </c>
      <c r="BC26" s="32" t="str">
        <f>CAD!K28</f>
        <v>FAIL</v>
      </c>
      <c r="BD26" s="32">
        <f>CAREER!E28</f>
        <v>0</v>
      </c>
      <c r="BE26" s="32">
        <f>CAREER!G28</f>
        <v>0</v>
      </c>
      <c r="BF26" s="32">
        <f>CAREER!H28</f>
        <v>0</v>
      </c>
      <c r="BG26" s="32">
        <f>CAREER!I28</f>
        <v>2</v>
      </c>
      <c r="BH26" s="32">
        <f>CAREER!J28</f>
        <v>9</v>
      </c>
      <c r="BI26" s="32" t="str">
        <f>CAREER!K28</f>
        <v>FAIL</v>
      </c>
      <c r="BJ26" s="32">
        <f>FANTE!E28</f>
        <v>0</v>
      </c>
      <c r="BK26" s="32">
        <f>FANTE!G28</f>
        <v>0</v>
      </c>
      <c r="BL26" s="32">
        <f>FANTE!H28</f>
        <v>0</v>
      </c>
      <c r="BM26" s="32">
        <f>FANTE!I28</f>
        <v>2</v>
      </c>
      <c r="BN26" s="32">
        <f>FANTE!J28</f>
        <v>9</v>
      </c>
      <c r="BO26" s="32" t="str">
        <f>FANTE!K28</f>
        <v>FAIL</v>
      </c>
      <c r="BP26" s="66">
        <f t="shared" si="3"/>
        <v>186</v>
      </c>
      <c r="BQ26" s="83" t="str">
        <f t="shared" si="4"/>
        <v>6th</v>
      </c>
      <c r="BR26" s="32" t="str">
        <f>VLOOKUP(BP26,'GRADING SYSTEM'!$A$1:$P$10,2)</f>
        <v>Below average, must buck up.</v>
      </c>
      <c r="BS26" s="32" t="str">
        <f>VLOOKUP(BP26,'GRADING SYSTEM'!$A$1:$P$10,10)</f>
        <v>Below average, you must work hard. There is the need for parental support.</v>
      </c>
      <c r="BT26" s="32" t="str">
        <f t="shared" si="0"/>
        <v>OPPONG NYAMEBA YAA</v>
      </c>
      <c r="BU26" s="34"/>
      <c r="BV26" s="32"/>
      <c r="BW26" s="32">
        <f t="shared" si="5"/>
        <v>6</v>
      </c>
      <c r="BX26" s="32">
        <f t="shared" si="6"/>
        <v>6</v>
      </c>
      <c r="BY26" s="32">
        <f t="shared" si="7"/>
        <v>6</v>
      </c>
      <c r="BZ26" s="32">
        <f t="shared" si="8"/>
        <v>6</v>
      </c>
      <c r="CA26" s="32">
        <f t="shared" si="9"/>
        <v>9</v>
      </c>
      <c r="CB26" s="32">
        <f t="shared" si="10"/>
        <v>9</v>
      </c>
      <c r="CC26" s="32">
        <f>CAD!J28</f>
        <v>9</v>
      </c>
      <c r="CD26" s="32">
        <f t="shared" si="11"/>
        <v>9</v>
      </c>
      <c r="CE26" s="32">
        <f t="shared" si="12"/>
        <v>9</v>
      </c>
      <c r="CF26" s="67">
        <f>SUM((SMALL(BW26:CE26,{1,2,3,5,5,6})))</f>
        <v>45</v>
      </c>
      <c r="CG26" s="32" t="s">
        <v>138</v>
      </c>
      <c r="CH26" s="82" t="s">
        <v>169</v>
      </c>
      <c r="CI26" s="82" t="s">
        <v>195</v>
      </c>
      <c r="CJ26" s="32" t="str">
        <f t="shared" si="1"/>
        <v>OPPONG NYAMEBA YAA</v>
      </c>
      <c r="CK26" s="33"/>
      <c r="CL26" s="33"/>
      <c r="CM26" s="33"/>
      <c r="CN26" s="33" t="s">
        <v>113</v>
      </c>
      <c r="CO26" s="33"/>
      <c r="CP26" s="33"/>
      <c r="CQ26" s="33" t="s">
        <v>113</v>
      </c>
      <c r="CR26" s="33"/>
      <c r="CS26" s="33" t="s">
        <v>113</v>
      </c>
      <c r="CT26" s="33"/>
      <c r="CU26" s="33"/>
      <c r="CV26" s="33"/>
      <c r="CW26" s="33"/>
      <c r="CX26" s="33" t="s">
        <v>113</v>
      </c>
      <c r="CY26" s="33"/>
      <c r="CZ26" s="33"/>
      <c r="DA26" s="33"/>
      <c r="DB26" s="33" t="s">
        <v>113</v>
      </c>
      <c r="DC26" s="33"/>
      <c r="DD26" s="33"/>
      <c r="DE26" s="33"/>
      <c r="DF26" s="33"/>
      <c r="DG26" s="33" t="s">
        <v>113</v>
      </c>
      <c r="DH26" s="33"/>
    </row>
    <row r="27" spans="1:112" ht="24" thickBot="1" x14ac:dyDescent="0.3">
      <c r="A27" s="63" t="str">
        <f>'Info List'!A28</f>
        <v>BHS9026</v>
      </c>
      <c r="B27" s="64" t="str">
        <f>'Info List'!B28</f>
        <v>QUARCOO JESSICA</v>
      </c>
      <c r="C27" s="35">
        <f>'Info List'!C28</f>
        <v>9</v>
      </c>
      <c r="D27" s="41">
        <f>'Info List'!$D$3</f>
        <v>29</v>
      </c>
      <c r="E27" s="32" t="s">
        <v>135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f t="shared" si="2"/>
        <v>0</v>
      </c>
      <c r="L27" s="32">
        <f>'Info List'!F28</f>
        <v>0</v>
      </c>
      <c r="M27" s="34">
        <f>'Info List'!$G$3</f>
        <v>0</v>
      </c>
      <c r="N27" s="32">
        <f>ENGLISH!E29</f>
        <v>47</v>
      </c>
      <c r="O27" s="32">
        <f>ENGLISH!G29</f>
        <v>0</v>
      </c>
      <c r="P27" s="32">
        <f>ENGLISH!H29</f>
        <v>47</v>
      </c>
      <c r="Q27" s="32">
        <f>ENGLISH!I29</f>
        <v>5</v>
      </c>
      <c r="R27" s="32">
        <f>ENGLISH!J29</f>
        <v>6</v>
      </c>
      <c r="S27" s="32" t="str">
        <f>ENGLISH!K29</f>
        <v>LOW AVERAGE</v>
      </c>
      <c r="T27" s="32">
        <f>MATHS!E29</f>
        <v>47</v>
      </c>
      <c r="U27" s="32">
        <f>MATHS!G29</f>
        <v>0</v>
      </c>
      <c r="V27" s="32">
        <f>MATHS!H29</f>
        <v>47</v>
      </c>
      <c r="W27" s="32">
        <f>MATHS!I29</f>
        <v>5</v>
      </c>
      <c r="X27" s="32">
        <f>MATHS!J29</f>
        <v>6</v>
      </c>
      <c r="Y27" s="32" t="str">
        <f>MATHS!K29</f>
        <v>LOW AVERAGE</v>
      </c>
      <c r="Z27" s="32">
        <f>SCIENCE!E29</f>
        <v>47</v>
      </c>
      <c r="AA27" s="32">
        <f>SCIENCE!G29</f>
        <v>0</v>
      </c>
      <c r="AB27" s="32">
        <f>SCIENCE!H29</f>
        <v>47</v>
      </c>
      <c r="AC27" s="32">
        <f>SCIENCE!I29</f>
        <v>5</v>
      </c>
      <c r="AD27" s="32">
        <f>SCIENCE!J29</f>
        <v>6</v>
      </c>
      <c r="AE27" s="32" t="str">
        <f>SCIENCE!K29</f>
        <v>LOW AVERAGE</v>
      </c>
      <c r="AF27" s="32">
        <f>SOCIAL!E29</f>
        <v>47</v>
      </c>
      <c r="AG27" s="32">
        <f>SOCIAL!G29</f>
        <v>0</v>
      </c>
      <c r="AH27" s="32">
        <f>SOCIAL!H29</f>
        <v>47</v>
      </c>
      <c r="AI27" s="32">
        <f>SOCIAL!I29</f>
        <v>5</v>
      </c>
      <c r="AJ27" s="32">
        <f>SOCIAL!J29</f>
        <v>6</v>
      </c>
      <c r="AK27" s="32" t="str">
        <f>SOCIAL!K29</f>
        <v>LOW AVERAGE</v>
      </c>
      <c r="AL27" s="32">
        <f>'R.M.E'!E29</f>
        <v>0</v>
      </c>
      <c r="AM27" s="32">
        <f>'R.M.E'!G29</f>
        <v>0</v>
      </c>
      <c r="AN27" s="32">
        <f>'R.M.E'!H29</f>
        <v>0</v>
      </c>
      <c r="AO27" s="32">
        <f>'R.M.E'!I29</f>
        <v>2</v>
      </c>
      <c r="AP27" s="32">
        <f>'R.M.E'!J29</f>
        <v>9</v>
      </c>
      <c r="AQ27" s="32" t="str">
        <f>'R.M.E'!K29</f>
        <v>FAIL</v>
      </c>
      <c r="AR27" s="32">
        <f>COMPUTING!E29</f>
        <v>0</v>
      </c>
      <c r="AS27" s="32">
        <f>COMPUTING!G29</f>
        <v>0</v>
      </c>
      <c r="AT27" s="32">
        <f>COMPUTING!H29</f>
        <v>0</v>
      </c>
      <c r="AU27" s="32">
        <f>COMPUTING!I29</f>
        <v>2</v>
      </c>
      <c r="AV27" s="32">
        <f>COMPUTING!J29</f>
        <v>9</v>
      </c>
      <c r="AW27" s="32" t="str">
        <f>COMPUTING!K29</f>
        <v>FAIL</v>
      </c>
      <c r="AX27" s="32">
        <f>CAD!E29</f>
        <v>0</v>
      </c>
      <c r="AY27" s="32">
        <f>CAD!G29</f>
        <v>0</v>
      </c>
      <c r="AZ27" s="32">
        <f>CAD!H29</f>
        <v>0</v>
      </c>
      <c r="BA27" s="32">
        <f>CAD!I29</f>
        <v>2</v>
      </c>
      <c r="BB27" s="32">
        <f>CAD!J29</f>
        <v>9</v>
      </c>
      <c r="BC27" s="32" t="str">
        <f>CAD!K29</f>
        <v>FAIL</v>
      </c>
      <c r="BD27" s="32">
        <f>CAREER!E29</f>
        <v>0</v>
      </c>
      <c r="BE27" s="32">
        <f>CAREER!G29</f>
        <v>0</v>
      </c>
      <c r="BF27" s="32">
        <f>CAREER!H29</f>
        <v>0</v>
      </c>
      <c r="BG27" s="32">
        <f>CAREER!I29</f>
        <v>2</v>
      </c>
      <c r="BH27" s="32">
        <f>CAREER!J29</f>
        <v>9</v>
      </c>
      <c r="BI27" s="32" t="str">
        <f>CAREER!K29</f>
        <v>FAIL</v>
      </c>
      <c r="BJ27" s="32">
        <f>FANTE!E29</f>
        <v>0</v>
      </c>
      <c r="BK27" s="32">
        <f>FANTE!G29</f>
        <v>0</v>
      </c>
      <c r="BL27" s="32">
        <f>FANTE!H29</f>
        <v>0</v>
      </c>
      <c r="BM27" s="32">
        <f>FANTE!I29</f>
        <v>2</v>
      </c>
      <c r="BN27" s="32">
        <f>FANTE!J29</f>
        <v>9</v>
      </c>
      <c r="BO27" s="32" t="str">
        <f>FANTE!K29</f>
        <v>FAIL</v>
      </c>
      <c r="BP27" s="66">
        <f t="shared" si="3"/>
        <v>188</v>
      </c>
      <c r="BQ27" s="83" t="str">
        <f t="shared" si="4"/>
        <v>5th</v>
      </c>
      <c r="BR27" s="32" t="str">
        <f>VLOOKUP(BP27,'GRADING SYSTEM'!$A$1:$P$10,2)</f>
        <v>Below average, must buck up.</v>
      </c>
      <c r="BS27" s="32" t="str">
        <f>VLOOKUP(BP27,'GRADING SYSTEM'!$A$1:$P$10,10)</f>
        <v>Below average, you must work hard. There is the need for parental support.</v>
      </c>
      <c r="BT27" s="32" t="str">
        <f t="shared" si="0"/>
        <v>QUARCOO JESSICA</v>
      </c>
      <c r="BU27" s="34"/>
      <c r="BV27" s="32"/>
      <c r="BW27" s="32">
        <f t="shared" si="5"/>
        <v>6</v>
      </c>
      <c r="BX27" s="32">
        <f t="shared" si="6"/>
        <v>6</v>
      </c>
      <c r="BY27" s="32">
        <f t="shared" si="7"/>
        <v>6</v>
      </c>
      <c r="BZ27" s="32">
        <f t="shared" si="8"/>
        <v>6</v>
      </c>
      <c r="CA27" s="32">
        <f t="shared" si="9"/>
        <v>9</v>
      </c>
      <c r="CB27" s="32">
        <f t="shared" si="10"/>
        <v>9</v>
      </c>
      <c r="CC27" s="32">
        <f>CAD!J29</f>
        <v>9</v>
      </c>
      <c r="CD27" s="32">
        <f t="shared" si="11"/>
        <v>9</v>
      </c>
      <c r="CE27" s="32">
        <f t="shared" si="12"/>
        <v>9</v>
      </c>
      <c r="CF27" s="67">
        <f>SUM((SMALL(BW27:CE27,{1,2,3,5,5,6})))</f>
        <v>45</v>
      </c>
      <c r="CG27" s="32" t="s">
        <v>138</v>
      </c>
      <c r="CH27" s="82" t="s">
        <v>170</v>
      </c>
      <c r="CI27" s="82" t="s">
        <v>196</v>
      </c>
      <c r="CJ27" s="32" t="str">
        <f t="shared" si="1"/>
        <v>QUARCOO JESSICA</v>
      </c>
      <c r="CK27" s="33"/>
      <c r="CL27" s="33"/>
      <c r="CM27" s="33"/>
      <c r="CN27" s="33" t="s">
        <v>113</v>
      </c>
      <c r="CO27" s="33"/>
      <c r="CP27" s="33"/>
      <c r="CQ27" s="33" t="s">
        <v>113</v>
      </c>
      <c r="CR27" s="33"/>
      <c r="CS27" s="33" t="s">
        <v>113</v>
      </c>
      <c r="CT27" s="33"/>
      <c r="CU27" s="33"/>
      <c r="CV27" s="33"/>
      <c r="CW27" s="33"/>
      <c r="CX27" s="33" t="s">
        <v>113</v>
      </c>
      <c r="CY27" s="33"/>
      <c r="CZ27" s="33"/>
      <c r="DA27" s="33"/>
      <c r="DB27" s="33" t="s">
        <v>113</v>
      </c>
      <c r="DC27" s="33"/>
      <c r="DD27" s="33"/>
      <c r="DE27" s="33"/>
      <c r="DF27" s="33"/>
      <c r="DG27" s="33" t="s">
        <v>113</v>
      </c>
      <c r="DH27" s="33"/>
    </row>
    <row r="28" spans="1:112" ht="24" thickBot="1" x14ac:dyDescent="0.3">
      <c r="A28" s="63" t="str">
        <f>'Info List'!A29</f>
        <v>BHS9027</v>
      </c>
      <c r="B28" s="64" t="str">
        <f>'Info List'!B29</f>
        <v>GAKPETOR ISAIAH</v>
      </c>
      <c r="C28" s="35">
        <f>'Info List'!C29</f>
        <v>9</v>
      </c>
      <c r="D28" s="41">
        <f>'Info List'!$D$3</f>
        <v>29</v>
      </c>
      <c r="E28" s="32" t="s">
        <v>135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f t="shared" si="2"/>
        <v>0</v>
      </c>
      <c r="L28" s="32">
        <f>'Info List'!F29</f>
        <v>0</v>
      </c>
      <c r="M28" s="34">
        <f>'Info List'!$G$3</f>
        <v>0</v>
      </c>
      <c r="N28" s="32">
        <f>ENGLISH!E30</f>
        <v>47.5</v>
      </c>
      <c r="O28" s="32">
        <f>ENGLISH!G30</f>
        <v>0</v>
      </c>
      <c r="P28" s="32">
        <f>ENGLISH!H30</f>
        <v>47.5</v>
      </c>
      <c r="Q28" s="32">
        <f>ENGLISH!I30</f>
        <v>4</v>
      </c>
      <c r="R28" s="32">
        <f>ENGLISH!J30</f>
        <v>6</v>
      </c>
      <c r="S28" s="32" t="str">
        <f>ENGLISH!K30</f>
        <v>LOW AVERAGE</v>
      </c>
      <c r="T28" s="32">
        <f>MATHS!E30</f>
        <v>47.5</v>
      </c>
      <c r="U28" s="32">
        <f>MATHS!G30</f>
        <v>0</v>
      </c>
      <c r="V28" s="32">
        <f>MATHS!H30</f>
        <v>47.5</v>
      </c>
      <c r="W28" s="32">
        <f>MATHS!I30</f>
        <v>4</v>
      </c>
      <c r="X28" s="32">
        <f>MATHS!J30</f>
        <v>6</v>
      </c>
      <c r="Y28" s="32" t="str">
        <f>MATHS!K30</f>
        <v>LOW AVERAGE</v>
      </c>
      <c r="Z28" s="32">
        <f>SCIENCE!E30</f>
        <v>47.5</v>
      </c>
      <c r="AA28" s="32">
        <f>SCIENCE!G30</f>
        <v>0</v>
      </c>
      <c r="AB28" s="32">
        <f>SCIENCE!H30</f>
        <v>47.5</v>
      </c>
      <c r="AC28" s="32">
        <f>SCIENCE!I30</f>
        <v>4</v>
      </c>
      <c r="AD28" s="32">
        <f>SCIENCE!J30</f>
        <v>6</v>
      </c>
      <c r="AE28" s="32" t="str">
        <f>SCIENCE!K30</f>
        <v>LOW AVERAGE</v>
      </c>
      <c r="AF28" s="32">
        <f>SOCIAL!E30</f>
        <v>47.5</v>
      </c>
      <c r="AG28" s="32">
        <f>SOCIAL!G30</f>
        <v>0</v>
      </c>
      <c r="AH28" s="32">
        <f>SOCIAL!H30</f>
        <v>47.5</v>
      </c>
      <c r="AI28" s="32">
        <f>SOCIAL!I30</f>
        <v>4</v>
      </c>
      <c r="AJ28" s="32">
        <f>SOCIAL!J30</f>
        <v>6</v>
      </c>
      <c r="AK28" s="32" t="str">
        <f>SOCIAL!K30</f>
        <v>LOW AVERAGE</v>
      </c>
      <c r="AL28" s="32">
        <f>'R.M.E'!E30</f>
        <v>0</v>
      </c>
      <c r="AM28" s="32">
        <f>'R.M.E'!G30</f>
        <v>0</v>
      </c>
      <c r="AN28" s="32">
        <f>'R.M.E'!H30</f>
        <v>0</v>
      </c>
      <c r="AO28" s="32">
        <f>'R.M.E'!I30</f>
        <v>2</v>
      </c>
      <c r="AP28" s="32">
        <f>'R.M.E'!J30</f>
        <v>9</v>
      </c>
      <c r="AQ28" s="32" t="str">
        <f>'R.M.E'!K30</f>
        <v>FAIL</v>
      </c>
      <c r="AR28" s="32">
        <f>COMPUTING!E30</f>
        <v>0</v>
      </c>
      <c r="AS28" s="32">
        <f>COMPUTING!G30</f>
        <v>0</v>
      </c>
      <c r="AT28" s="32">
        <f>COMPUTING!H30</f>
        <v>0</v>
      </c>
      <c r="AU28" s="32">
        <f>COMPUTING!I30</f>
        <v>2</v>
      </c>
      <c r="AV28" s="32">
        <f>COMPUTING!J30</f>
        <v>9</v>
      </c>
      <c r="AW28" s="32" t="str">
        <f>COMPUTING!K30</f>
        <v>FAIL</v>
      </c>
      <c r="AX28" s="32">
        <f>CAD!E30</f>
        <v>0</v>
      </c>
      <c r="AY28" s="32">
        <f>CAD!G30</f>
        <v>0</v>
      </c>
      <c r="AZ28" s="32">
        <f>CAD!H30</f>
        <v>0</v>
      </c>
      <c r="BA28" s="32">
        <f>CAD!I30</f>
        <v>2</v>
      </c>
      <c r="BB28" s="32">
        <f>CAD!J30</f>
        <v>9</v>
      </c>
      <c r="BC28" s="32" t="str">
        <f>CAD!K30</f>
        <v>FAIL</v>
      </c>
      <c r="BD28" s="32">
        <f>CAREER!E30</f>
        <v>0</v>
      </c>
      <c r="BE28" s="32">
        <f>CAREER!G30</f>
        <v>0</v>
      </c>
      <c r="BF28" s="32">
        <f>CAREER!H30</f>
        <v>0</v>
      </c>
      <c r="BG28" s="32">
        <f>CAREER!I30</f>
        <v>2</v>
      </c>
      <c r="BH28" s="32">
        <f>CAREER!J30</f>
        <v>9</v>
      </c>
      <c r="BI28" s="32" t="str">
        <f>CAREER!K30</f>
        <v>FAIL</v>
      </c>
      <c r="BJ28" s="32">
        <f>FANTE!E30</f>
        <v>0</v>
      </c>
      <c r="BK28" s="32">
        <f>FANTE!G30</f>
        <v>0</v>
      </c>
      <c r="BL28" s="32">
        <f>FANTE!H30</f>
        <v>0</v>
      </c>
      <c r="BM28" s="32">
        <f>FANTE!I30</f>
        <v>2</v>
      </c>
      <c r="BN28" s="32">
        <f>FANTE!J30</f>
        <v>9</v>
      </c>
      <c r="BO28" s="32" t="str">
        <f>FANTE!K30</f>
        <v>FAIL</v>
      </c>
      <c r="BP28" s="66">
        <f t="shared" si="3"/>
        <v>190</v>
      </c>
      <c r="BQ28" s="83" t="str">
        <f t="shared" si="4"/>
        <v>4th</v>
      </c>
      <c r="BR28" s="32" t="str">
        <f>VLOOKUP(BP28,'GRADING SYSTEM'!$A$1:$P$10,2)</f>
        <v>Below average, must buck up.</v>
      </c>
      <c r="BS28" s="32" t="str">
        <f>VLOOKUP(BP28,'GRADING SYSTEM'!$A$1:$P$10,10)</f>
        <v>Below average, you must work hard. There is the need for parental support.</v>
      </c>
      <c r="BT28" s="32" t="str">
        <f t="shared" si="0"/>
        <v>GAKPETOR ISAIAH</v>
      </c>
      <c r="BU28" s="34"/>
      <c r="BV28" s="32"/>
      <c r="BW28" s="32">
        <f t="shared" si="5"/>
        <v>6</v>
      </c>
      <c r="BX28" s="32">
        <f t="shared" si="6"/>
        <v>6</v>
      </c>
      <c r="BY28" s="32">
        <f t="shared" si="7"/>
        <v>6</v>
      </c>
      <c r="BZ28" s="32">
        <f t="shared" si="8"/>
        <v>6</v>
      </c>
      <c r="CA28" s="32">
        <f t="shared" si="9"/>
        <v>9</v>
      </c>
      <c r="CB28" s="32">
        <f t="shared" si="10"/>
        <v>9</v>
      </c>
      <c r="CC28" s="32">
        <f>CAD!J30</f>
        <v>9</v>
      </c>
      <c r="CD28" s="32">
        <f t="shared" si="11"/>
        <v>9</v>
      </c>
      <c r="CE28" s="32">
        <f t="shared" si="12"/>
        <v>9</v>
      </c>
      <c r="CF28" s="67">
        <f>SUM((SMALL(BW28:CE28,{1,2,3,5,5,6})))</f>
        <v>45</v>
      </c>
      <c r="CG28" s="32" t="s">
        <v>138</v>
      </c>
      <c r="CH28" s="82" t="s">
        <v>171</v>
      </c>
      <c r="CI28" s="82" t="s">
        <v>197</v>
      </c>
      <c r="CJ28" s="32" t="str">
        <f t="shared" si="1"/>
        <v>GAKPETOR ISAIAH</v>
      </c>
      <c r="CK28" s="33"/>
      <c r="CL28" s="33"/>
      <c r="CM28" s="33"/>
      <c r="CN28" s="33" t="s">
        <v>113</v>
      </c>
      <c r="CO28" s="33"/>
      <c r="CP28" s="33"/>
      <c r="CQ28" s="33" t="s">
        <v>113</v>
      </c>
      <c r="CR28" s="33"/>
      <c r="CS28" s="33" t="s">
        <v>113</v>
      </c>
      <c r="CT28" s="33"/>
      <c r="CU28" s="33"/>
      <c r="CV28" s="33"/>
      <c r="CW28" s="33"/>
      <c r="CX28" s="33" t="s">
        <v>113</v>
      </c>
      <c r="CY28" s="33"/>
      <c r="CZ28" s="33"/>
      <c r="DA28" s="33"/>
      <c r="DB28" s="33" t="s">
        <v>113</v>
      </c>
      <c r="DC28" s="33"/>
      <c r="DD28" s="33"/>
      <c r="DE28" s="33"/>
      <c r="DF28" s="33"/>
      <c r="DG28" s="33" t="s">
        <v>113</v>
      </c>
      <c r="DH28" s="33"/>
    </row>
    <row r="29" spans="1:112" ht="24" thickBot="1" x14ac:dyDescent="0.3">
      <c r="A29" s="63" t="str">
        <f>'Info List'!A30</f>
        <v>BHS9028</v>
      </c>
      <c r="B29" s="64" t="str">
        <f>'Info List'!B30</f>
        <v>SUDAIS ABDUL RAHMAN MUSA</v>
      </c>
      <c r="C29" s="35">
        <f>'Info List'!C30</f>
        <v>9</v>
      </c>
      <c r="D29" s="41">
        <f>'Info List'!$D$3</f>
        <v>29</v>
      </c>
      <c r="E29" s="32" t="s">
        <v>135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f t="shared" si="2"/>
        <v>0</v>
      </c>
      <c r="L29" s="32">
        <f>'Info List'!F30</f>
        <v>0</v>
      </c>
      <c r="M29" s="34">
        <f>'Info List'!$G$3</f>
        <v>0</v>
      </c>
      <c r="N29" s="32">
        <f>ENGLISH!E31</f>
        <v>48</v>
      </c>
      <c r="O29" s="32">
        <f>ENGLISH!G31</f>
        <v>0</v>
      </c>
      <c r="P29" s="32">
        <f>ENGLISH!H31</f>
        <v>48</v>
      </c>
      <c r="Q29" s="32">
        <f>ENGLISH!I31</f>
        <v>3</v>
      </c>
      <c r="R29" s="32">
        <f>ENGLISH!J31</f>
        <v>6</v>
      </c>
      <c r="S29" s="32" t="str">
        <f>ENGLISH!K31</f>
        <v>LOW AVERAGE</v>
      </c>
      <c r="T29" s="32">
        <f>MATHS!E31</f>
        <v>48</v>
      </c>
      <c r="U29" s="32">
        <f>MATHS!G31</f>
        <v>0</v>
      </c>
      <c r="V29" s="32">
        <f>MATHS!H31</f>
        <v>48</v>
      </c>
      <c r="W29" s="32">
        <f>MATHS!I31</f>
        <v>3</v>
      </c>
      <c r="X29" s="32">
        <f>MATHS!J31</f>
        <v>6</v>
      </c>
      <c r="Y29" s="32" t="str">
        <f>MATHS!K31</f>
        <v>LOW AVERAGE</v>
      </c>
      <c r="Z29" s="32">
        <f>SCIENCE!E31</f>
        <v>48</v>
      </c>
      <c r="AA29" s="32">
        <f>SCIENCE!G31</f>
        <v>0</v>
      </c>
      <c r="AB29" s="32">
        <f>SCIENCE!H31</f>
        <v>48</v>
      </c>
      <c r="AC29" s="32">
        <f>SCIENCE!I31</f>
        <v>3</v>
      </c>
      <c r="AD29" s="32">
        <f>SCIENCE!J31</f>
        <v>6</v>
      </c>
      <c r="AE29" s="32" t="str">
        <f>SCIENCE!K31</f>
        <v>LOW AVERAGE</v>
      </c>
      <c r="AF29" s="32">
        <f>SOCIAL!E31</f>
        <v>48</v>
      </c>
      <c r="AG29" s="32">
        <f>SOCIAL!G31</f>
        <v>0</v>
      </c>
      <c r="AH29" s="32">
        <f>SOCIAL!H31</f>
        <v>48</v>
      </c>
      <c r="AI29" s="32">
        <f>SOCIAL!I31</f>
        <v>3</v>
      </c>
      <c r="AJ29" s="32">
        <f>SOCIAL!J31</f>
        <v>6</v>
      </c>
      <c r="AK29" s="32" t="str">
        <f>SOCIAL!K31</f>
        <v>LOW AVERAGE</v>
      </c>
      <c r="AL29" s="32">
        <f>'R.M.E'!E31</f>
        <v>0</v>
      </c>
      <c r="AM29" s="32">
        <f>'R.M.E'!G31</f>
        <v>0</v>
      </c>
      <c r="AN29" s="32">
        <f>'R.M.E'!H31</f>
        <v>0</v>
      </c>
      <c r="AO29" s="32">
        <f>'R.M.E'!I31</f>
        <v>2</v>
      </c>
      <c r="AP29" s="32">
        <f>'R.M.E'!J31</f>
        <v>9</v>
      </c>
      <c r="AQ29" s="32" t="str">
        <f>'R.M.E'!K31</f>
        <v>FAIL</v>
      </c>
      <c r="AR29" s="32">
        <f>COMPUTING!E31</f>
        <v>0</v>
      </c>
      <c r="AS29" s="32">
        <f>COMPUTING!G31</f>
        <v>0</v>
      </c>
      <c r="AT29" s="32">
        <f>COMPUTING!H31</f>
        <v>0</v>
      </c>
      <c r="AU29" s="32">
        <f>COMPUTING!I31</f>
        <v>2</v>
      </c>
      <c r="AV29" s="32">
        <f>COMPUTING!J31</f>
        <v>9</v>
      </c>
      <c r="AW29" s="32" t="str">
        <f>COMPUTING!K31</f>
        <v>FAIL</v>
      </c>
      <c r="AX29" s="32">
        <f>CAD!E31</f>
        <v>0</v>
      </c>
      <c r="AY29" s="32">
        <f>CAD!G31</f>
        <v>0</v>
      </c>
      <c r="AZ29" s="32">
        <f>CAD!H31</f>
        <v>0</v>
      </c>
      <c r="BA29" s="32">
        <f>CAD!I31</f>
        <v>2</v>
      </c>
      <c r="BB29" s="32">
        <f>CAD!J31</f>
        <v>9</v>
      </c>
      <c r="BC29" s="32" t="str">
        <f>CAD!K31</f>
        <v>FAIL</v>
      </c>
      <c r="BD29" s="32">
        <f>CAREER!E31</f>
        <v>0</v>
      </c>
      <c r="BE29" s="32">
        <f>CAREER!G31</f>
        <v>0</v>
      </c>
      <c r="BF29" s="32">
        <f>CAREER!H31</f>
        <v>0</v>
      </c>
      <c r="BG29" s="32">
        <f>CAREER!I31</f>
        <v>2</v>
      </c>
      <c r="BH29" s="32">
        <f>CAREER!J31</f>
        <v>9</v>
      </c>
      <c r="BI29" s="32" t="str">
        <f>CAREER!K31</f>
        <v>FAIL</v>
      </c>
      <c r="BJ29" s="32">
        <f>FANTE!E31</f>
        <v>0</v>
      </c>
      <c r="BK29" s="32">
        <f>FANTE!G31</f>
        <v>0</v>
      </c>
      <c r="BL29" s="32">
        <f>FANTE!H31</f>
        <v>0</v>
      </c>
      <c r="BM29" s="32">
        <f>FANTE!I31</f>
        <v>2</v>
      </c>
      <c r="BN29" s="32">
        <f>FANTE!J31</f>
        <v>9</v>
      </c>
      <c r="BO29" s="32" t="str">
        <f>FANTE!K31</f>
        <v>FAIL</v>
      </c>
      <c r="BP29" s="66">
        <f t="shared" si="3"/>
        <v>192</v>
      </c>
      <c r="BQ29" s="83" t="str">
        <f t="shared" si="4"/>
        <v>3rd</v>
      </c>
      <c r="BR29" s="32" t="str">
        <f>VLOOKUP(BP29,'GRADING SYSTEM'!$A$1:$P$10,2)</f>
        <v>Below average, must buck up.</v>
      </c>
      <c r="BS29" s="32" t="str">
        <f>VLOOKUP(BP29,'GRADING SYSTEM'!$A$1:$P$10,10)</f>
        <v>Below average, you must work hard. There is the need for parental support.</v>
      </c>
      <c r="BT29" s="32" t="str">
        <f t="shared" si="0"/>
        <v>SUDAIS ABDUL RAHMAN MUSA</v>
      </c>
      <c r="BU29" s="34"/>
      <c r="BV29" s="32"/>
      <c r="BW29" s="32">
        <f t="shared" si="5"/>
        <v>6</v>
      </c>
      <c r="BX29" s="32">
        <f t="shared" si="6"/>
        <v>6</v>
      </c>
      <c r="BY29" s="32">
        <f t="shared" si="7"/>
        <v>6</v>
      </c>
      <c r="BZ29" s="32">
        <f t="shared" si="8"/>
        <v>6</v>
      </c>
      <c r="CA29" s="32">
        <f t="shared" si="9"/>
        <v>9</v>
      </c>
      <c r="CB29" s="32">
        <f t="shared" si="10"/>
        <v>9</v>
      </c>
      <c r="CC29" s="32">
        <f>CAD!J31</f>
        <v>9</v>
      </c>
      <c r="CD29" s="32">
        <f t="shared" si="11"/>
        <v>9</v>
      </c>
      <c r="CE29" s="32">
        <f t="shared" si="12"/>
        <v>9</v>
      </c>
      <c r="CF29" s="67">
        <f>SUM((SMALL(BW29:CE29,{1,2,3,5,5,6})))</f>
        <v>45</v>
      </c>
      <c r="CG29" s="32" t="s">
        <v>138</v>
      </c>
      <c r="CH29" s="82" t="s">
        <v>172</v>
      </c>
      <c r="CI29" s="82" t="s">
        <v>198</v>
      </c>
      <c r="CJ29" s="32" t="str">
        <f t="shared" si="1"/>
        <v>SUDAIS ABDUL RAHMAN MUSA</v>
      </c>
      <c r="CK29" s="33"/>
      <c r="CL29" s="33"/>
      <c r="CM29" s="33"/>
      <c r="CN29" s="33" t="s">
        <v>113</v>
      </c>
      <c r="CO29" s="33"/>
      <c r="CP29" s="33"/>
      <c r="CQ29" s="33" t="s">
        <v>113</v>
      </c>
      <c r="CR29" s="33"/>
      <c r="CS29" s="33" t="s">
        <v>113</v>
      </c>
      <c r="CT29" s="33"/>
      <c r="CU29" s="33"/>
      <c r="CV29" s="33"/>
      <c r="CW29" s="33"/>
      <c r="CX29" s="33" t="s">
        <v>113</v>
      </c>
      <c r="CY29" s="33"/>
      <c r="CZ29" s="33"/>
      <c r="DA29" s="33"/>
      <c r="DB29" s="33" t="s">
        <v>113</v>
      </c>
      <c r="DC29" s="33"/>
      <c r="DD29" s="33"/>
      <c r="DE29" s="33"/>
      <c r="DF29" s="33"/>
      <c r="DG29" s="33" t="s">
        <v>113</v>
      </c>
      <c r="DH29" s="33"/>
    </row>
    <row r="30" spans="1:112" ht="24" thickBot="1" x14ac:dyDescent="0.3">
      <c r="A30" s="63" t="str">
        <f>'Info List'!A31</f>
        <v>BHS9029</v>
      </c>
      <c r="B30" s="64" t="str">
        <f>'Info List'!B31</f>
        <v>YEVAKPOR SYLVIA EYRAM</v>
      </c>
      <c r="C30" s="35">
        <f>'Info List'!C31</f>
        <v>9</v>
      </c>
      <c r="D30" s="41">
        <f>'Info List'!$D$3</f>
        <v>29</v>
      </c>
      <c r="E30" s="32" t="s">
        <v>135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f t="shared" si="2"/>
        <v>0</v>
      </c>
      <c r="L30" s="32">
        <f>'Info List'!F31</f>
        <v>0</v>
      </c>
      <c r="M30" s="34">
        <f>'Info List'!$G$3</f>
        <v>0</v>
      </c>
      <c r="N30" s="32">
        <f>ENGLISH!E32</f>
        <v>48.5</v>
      </c>
      <c r="O30" s="32">
        <f>ENGLISH!G32</f>
        <v>0</v>
      </c>
      <c r="P30" s="32">
        <f>ENGLISH!H32</f>
        <v>48.5</v>
      </c>
      <c r="Q30" s="32">
        <f>ENGLISH!I32</f>
        <v>2</v>
      </c>
      <c r="R30" s="32">
        <f>ENGLISH!J32</f>
        <v>6</v>
      </c>
      <c r="S30" s="32" t="str">
        <f>ENGLISH!K32</f>
        <v>LOW AVERAGE</v>
      </c>
      <c r="T30" s="32">
        <f>MATHS!E32</f>
        <v>48.5</v>
      </c>
      <c r="U30" s="32">
        <f>MATHS!G32</f>
        <v>0</v>
      </c>
      <c r="V30" s="32">
        <f>MATHS!H32</f>
        <v>48.5</v>
      </c>
      <c r="W30" s="32">
        <f>MATHS!I32</f>
        <v>2</v>
      </c>
      <c r="X30" s="32">
        <f>MATHS!J32</f>
        <v>6</v>
      </c>
      <c r="Y30" s="32" t="str">
        <f>MATHS!K32</f>
        <v>LOW AVERAGE</v>
      </c>
      <c r="Z30" s="32">
        <f>SCIENCE!E32</f>
        <v>48.5</v>
      </c>
      <c r="AA30" s="32">
        <f>SCIENCE!G32</f>
        <v>0</v>
      </c>
      <c r="AB30" s="32">
        <f>SCIENCE!H32</f>
        <v>48.5</v>
      </c>
      <c r="AC30" s="32">
        <f>SCIENCE!I32</f>
        <v>2</v>
      </c>
      <c r="AD30" s="32">
        <f>SCIENCE!J32</f>
        <v>6</v>
      </c>
      <c r="AE30" s="32" t="str">
        <f>SCIENCE!K32</f>
        <v>LOW AVERAGE</v>
      </c>
      <c r="AF30" s="32">
        <f>SOCIAL!E32</f>
        <v>48.5</v>
      </c>
      <c r="AG30" s="32">
        <f>SOCIAL!G32</f>
        <v>0</v>
      </c>
      <c r="AH30" s="32">
        <f>SOCIAL!H32</f>
        <v>48.5</v>
      </c>
      <c r="AI30" s="32">
        <f>SOCIAL!I32</f>
        <v>2</v>
      </c>
      <c r="AJ30" s="32">
        <f>SOCIAL!J32</f>
        <v>6</v>
      </c>
      <c r="AK30" s="32" t="str">
        <f>SOCIAL!K32</f>
        <v>LOW AVERAGE</v>
      </c>
      <c r="AL30" s="32">
        <f>'R.M.E'!E32</f>
        <v>0</v>
      </c>
      <c r="AM30" s="32">
        <f>'R.M.E'!G32</f>
        <v>0</v>
      </c>
      <c r="AN30" s="32">
        <f>'R.M.E'!H32</f>
        <v>0</v>
      </c>
      <c r="AO30" s="32">
        <f>'R.M.E'!I32</f>
        <v>2</v>
      </c>
      <c r="AP30" s="32">
        <f>'R.M.E'!J32</f>
        <v>9</v>
      </c>
      <c r="AQ30" s="32" t="str">
        <f>'R.M.E'!K32</f>
        <v>FAIL</v>
      </c>
      <c r="AR30" s="32">
        <f>COMPUTING!E32</f>
        <v>0</v>
      </c>
      <c r="AS30" s="32">
        <f>COMPUTING!G32</f>
        <v>0</v>
      </c>
      <c r="AT30" s="32">
        <f>COMPUTING!H32</f>
        <v>0</v>
      </c>
      <c r="AU30" s="32">
        <f>COMPUTING!I32</f>
        <v>2</v>
      </c>
      <c r="AV30" s="32">
        <f>COMPUTING!J32</f>
        <v>9</v>
      </c>
      <c r="AW30" s="32" t="str">
        <f>COMPUTING!K32</f>
        <v>FAIL</v>
      </c>
      <c r="AX30" s="32">
        <f>CAD!E32</f>
        <v>0</v>
      </c>
      <c r="AY30" s="32">
        <f>CAD!G32</f>
        <v>0</v>
      </c>
      <c r="AZ30" s="32">
        <f>CAD!H32</f>
        <v>0</v>
      </c>
      <c r="BA30" s="32">
        <f>CAD!I32</f>
        <v>2</v>
      </c>
      <c r="BB30" s="32">
        <f>CAD!J32</f>
        <v>9</v>
      </c>
      <c r="BC30" s="32" t="str">
        <f>CAD!K32</f>
        <v>FAIL</v>
      </c>
      <c r="BD30" s="32">
        <f>CAREER!E32</f>
        <v>0</v>
      </c>
      <c r="BE30" s="32">
        <f>CAREER!G32</f>
        <v>0</v>
      </c>
      <c r="BF30" s="32">
        <f>CAREER!H32</f>
        <v>0</v>
      </c>
      <c r="BG30" s="32">
        <f>CAREER!I32</f>
        <v>2</v>
      </c>
      <c r="BH30" s="32">
        <f>CAREER!J32</f>
        <v>9</v>
      </c>
      <c r="BI30" s="32" t="str">
        <f>CAREER!K32</f>
        <v>FAIL</v>
      </c>
      <c r="BJ30" s="32">
        <f>FANTE!E32</f>
        <v>0</v>
      </c>
      <c r="BK30" s="32">
        <f>FANTE!G32</f>
        <v>0</v>
      </c>
      <c r="BL30" s="32">
        <f>FANTE!H32</f>
        <v>0</v>
      </c>
      <c r="BM30" s="32">
        <f>FANTE!I32</f>
        <v>2</v>
      </c>
      <c r="BN30" s="32">
        <f>FANTE!J32</f>
        <v>9</v>
      </c>
      <c r="BO30" s="32" t="str">
        <f>FANTE!K32</f>
        <v>FAIL</v>
      </c>
      <c r="BP30" s="66">
        <f t="shared" si="3"/>
        <v>194</v>
      </c>
      <c r="BQ30" s="83" t="str">
        <f t="shared" si="4"/>
        <v>2nd</v>
      </c>
      <c r="BR30" s="32" t="str">
        <f>VLOOKUP(BP30,'GRADING SYSTEM'!$A$1:$P$10,2)</f>
        <v>Below average, must buck up.</v>
      </c>
      <c r="BS30" s="32" t="str">
        <f>VLOOKUP(BP30,'GRADING SYSTEM'!$A$1:$P$10,10)</f>
        <v>Below average, you must work hard. There is the need for parental support.</v>
      </c>
      <c r="BT30" s="32" t="str">
        <f t="shared" si="0"/>
        <v>YEVAKPOR SYLVIA EYRAM</v>
      </c>
      <c r="BU30" s="34"/>
      <c r="BV30" s="32"/>
      <c r="BW30" s="32">
        <f t="shared" si="5"/>
        <v>6</v>
      </c>
      <c r="BX30" s="32">
        <f t="shared" si="6"/>
        <v>6</v>
      </c>
      <c r="BY30" s="32">
        <f t="shared" si="7"/>
        <v>6</v>
      </c>
      <c r="BZ30" s="32">
        <f t="shared" si="8"/>
        <v>6</v>
      </c>
      <c r="CA30" s="32">
        <f t="shared" si="9"/>
        <v>9</v>
      </c>
      <c r="CB30" s="32">
        <f t="shared" si="10"/>
        <v>9</v>
      </c>
      <c r="CC30" s="32">
        <f>CAD!J32</f>
        <v>9</v>
      </c>
      <c r="CD30" s="32">
        <f t="shared" si="11"/>
        <v>9</v>
      </c>
      <c r="CE30" s="32">
        <f t="shared" si="12"/>
        <v>9</v>
      </c>
      <c r="CF30" s="67">
        <f>SUM((SMALL(BW30:CE30,{1,2,3,5,5,6})))</f>
        <v>45</v>
      </c>
      <c r="CG30" s="32" t="s">
        <v>138</v>
      </c>
      <c r="CH30" s="82" t="s">
        <v>173</v>
      </c>
      <c r="CI30" s="82" t="s">
        <v>199</v>
      </c>
      <c r="CJ30" s="32" t="str">
        <f t="shared" si="1"/>
        <v>YEVAKPOR SYLVIA EYRAM</v>
      </c>
      <c r="CK30" s="33"/>
      <c r="CL30" s="33"/>
      <c r="CM30" s="33"/>
      <c r="CN30" s="33" t="s">
        <v>113</v>
      </c>
      <c r="CO30" s="33"/>
      <c r="CP30" s="33"/>
      <c r="CQ30" s="33" t="s">
        <v>113</v>
      </c>
      <c r="CR30" s="33"/>
      <c r="CS30" s="33" t="s">
        <v>113</v>
      </c>
      <c r="CT30" s="33"/>
      <c r="CU30" s="33"/>
      <c r="CV30" s="33"/>
      <c r="CW30" s="33"/>
      <c r="CX30" s="33" t="s">
        <v>113</v>
      </c>
      <c r="CY30" s="33"/>
      <c r="CZ30" s="33"/>
      <c r="DA30" s="33"/>
      <c r="DB30" s="33" t="s">
        <v>113</v>
      </c>
      <c r="DC30" s="33"/>
      <c r="DD30" s="33"/>
      <c r="DE30" s="33"/>
      <c r="DF30" s="33"/>
      <c r="DG30" s="33" t="s">
        <v>113</v>
      </c>
      <c r="DH30" s="33"/>
    </row>
  </sheetData>
  <phoneticPr fontId="22" type="noConversion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219" r:id="rId4" name="ComboBox35">
          <controlPr defaultSize="0" autoLine="0" linkedCell="BU6" listFillRange="CH2:CH30" r:id="rId5">
            <anchor moveWithCells="1">
              <from>
                <xdr:col>72</xdr:col>
                <xdr:colOff>9525</xdr:colOff>
                <xdr:row>5</xdr:row>
                <xdr:rowOff>19050</xdr:rowOff>
              </from>
              <to>
                <xdr:col>73</xdr:col>
                <xdr:colOff>0</xdr:colOff>
                <xdr:row>5</xdr:row>
                <xdr:rowOff>285750</xdr:rowOff>
              </to>
            </anchor>
          </controlPr>
        </control>
      </mc:Choice>
      <mc:Fallback>
        <control shapeId="1219" r:id="rId4" name="ComboBox35"/>
      </mc:Fallback>
    </mc:AlternateContent>
    <mc:AlternateContent xmlns:mc="http://schemas.openxmlformats.org/markup-compatibility/2006">
      <mc:Choice Requires="x14">
        <control shapeId="1218" r:id="rId6" name="ComboBox44">
          <controlPr defaultSize="0" autoLine="0" linkedCell="BV2" listFillRange="CI2:CI30" r:id="rId7">
            <anchor moveWithCells="1">
              <from>
                <xdr:col>73</xdr:col>
                <xdr:colOff>9525</xdr:colOff>
                <xdr:row>1</xdr:row>
                <xdr:rowOff>19050</xdr:rowOff>
              </from>
              <to>
                <xdr:col>74</xdr:col>
                <xdr:colOff>28575</xdr:colOff>
                <xdr:row>1</xdr:row>
                <xdr:rowOff>285750</xdr:rowOff>
              </to>
            </anchor>
          </controlPr>
        </control>
      </mc:Choice>
      <mc:Fallback>
        <control shapeId="1218" r:id="rId6" name="ComboBox44"/>
      </mc:Fallback>
    </mc:AlternateContent>
    <mc:AlternateContent xmlns:mc="http://schemas.openxmlformats.org/markup-compatibility/2006">
      <mc:Choice Requires="x14">
        <control shapeId="1204" r:id="rId8" name="ComboBox28">
          <controlPr defaultSize="0" autoLine="0" linkedCell="BU30" listFillRange="CH2:CH30" r:id="rId9">
            <anchor moveWithCells="1">
              <from>
                <xdr:col>72</xdr:col>
                <xdr:colOff>9525</xdr:colOff>
                <xdr:row>29</xdr:row>
                <xdr:rowOff>19050</xdr:rowOff>
              </from>
              <to>
                <xdr:col>73</xdr:col>
                <xdr:colOff>0</xdr:colOff>
                <xdr:row>29</xdr:row>
                <xdr:rowOff>285750</xdr:rowOff>
              </to>
            </anchor>
          </controlPr>
        </control>
      </mc:Choice>
      <mc:Fallback>
        <control shapeId="1204" r:id="rId8" name="ComboBox28"/>
      </mc:Fallback>
    </mc:AlternateContent>
    <mc:AlternateContent xmlns:mc="http://schemas.openxmlformats.org/markup-compatibility/2006">
      <mc:Choice Requires="x14">
        <control shapeId="1203" r:id="rId10" name="ComboBox27">
          <controlPr defaultSize="0" autoLine="0" linkedCell="BU29" listFillRange="CH2:CH30" r:id="rId9">
            <anchor moveWithCells="1">
              <from>
                <xdr:col>72</xdr:col>
                <xdr:colOff>9525</xdr:colOff>
                <xdr:row>28</xdr:row>
                <xdr:rowOff>19050</xdr:rowOff>
              </from>
              <to>
                <xdr:col>73</xdr:col>
                <xdr:colOff>0</xdr:colOff>
                <xdr:row>28</xdr:row>
                <xdr:rowOff>285750</xdr:rowOff>
              </to>
            </anchor>
          </controlPr>
        </control>
      </mc:Choice>
      <mc:Fallback>
        <control shapeId="1203" r:id="rId10" name="ComboBox27"/>
      </mc:Fallback>
    </mc:AlternateContent>
    <mc:AlternateContent xmlns:mc="http://schemas.openxmlformats.org/markup-compatibility/2006">
      <mc:Choice Requires="x14">
        <control shapeId="1202" r:id="rId11" name="ComboBox26">
          <controlPr defaultSize="0" autoLine="0" linkedCell="BU28" listFillRange="CH2:CH30" r:id="rId9">
            <anchor moveWithCells="1">
              <from>
                <xdr:col>72</xdr:col>
                <xdr:colOff>9525</xdr:colOff>
                <xdr:row>27</xdr:row>
                <xdr:rowOff>19050</xdr:rowOff>
              </from>
              <to>
                <xdr:col>73</xdr:col>
                <xdr:colOff>0</xdr:colOff>
                <xdr:row>27</xdr:row>
                <xdr:rowOff>285750</xdr:rowOff>
              </to>
            </anchor>
          </controlPr>
        </control>
      </mc:Choice>
      <mc:Fallback>
        <control shapeId="1202" r:id="rId11" name="ComboBox26"/>
      </mc:Fallback>
    </mc:AlternateContent>
    <mc:AlternateContent xmlns:mc="http://schemas.openxmlformats.org/markup-compatibility/2006">
      <mc:Choice Requires="x14">
        <control shapeId="1201" r:id="rId12" name="ComboBox25">
          <controlPr defaultSize="0" autoLine="0" linkedCell="BU27" listFillRange="CH2:CH30" r:id="rId9">
            <anchor moveWithCells="1">
              <from>
                <xdr:col>72</xdr:col>
                <xdr:colOff>9525</xdr:colOff>
                <xdr:row>26</xdr:row>
                <xdr:rowOff>19050</xdr:rowOff>
              </from>
              <to>
                <xdr:col>73</xdr:col>
                <xdr:colOff>0</xdr:colOff>
                <xdr:row>26</xdr:row>
                <xdr:rowOff>285750</xdr:rowOff>
              </to>
            </anchor>
          </controlPr>
        </control>
      </mc:Choice>
      <mc:Fallback>
        <control shapeId="1201" r:id="rId12" name="ComboBox25"/>
      </mc:Fallback>
    </mc:AlternateContent>
    <mc:AlternateContent xmlns:mc="http://schemas.openxmlformats.org/markup-compatibility/2006">
      <mc:Choice Requires="x14">
        <control shapeId="1200" r:id="rId13" name="ComboBox24">
          <controlPr defaultSize="0" autoLine="0" linkedCell="BU26" listFillRange="CH2:CH30" r:id="rId9">
            <anchor moveWithCells="1">
              <from>
                <xdr:col>72</xdr:col>
                <xdr:colOff>9525</xdr:colOff>
                <xdr:row>25</xdr:row>
                <xdr:rowOff>19050</xdr:rowOff>
              </from>
              <to>
                <xdr:col>73</xdr:col>
                <xdr:colOff>0</xdr:colOff>
                <xdr:row>25</xdr:row>
                <xdr:rowOff>285750</xdr:rowOff>
              </to>
            </anchor>
          </controlPr>
        </control>
      </mc:Choice>
      <mc:Fallback>
        <control shapeId="1200" r:id="rId13" name="ComboBox24"/>
      </mc:Fallback>
    </mc:AlternateContent>
    <mc:AlternateContent xmlns:mc="http://schemas.openxmlformats.org/markup-compatibility/2006">
      <mc:Choice Requires="x14">
        <control shapeId="1199" r:id="rId14" name="ComboBox23">
          <controlPr defaultSize="0" autoLine="0" linkedCell="BU25" listFillRange="CH2:CH30" r:id="rId9">
            <anchor moveWithCells="1">
              <from>
                <xdr:col>72</xdr:col>
                <xdr:colOff>9525</xdr:colOff>
                <xdr:row>24</xdr:row>
                <xdr:rowOff>19050</xdr:rowOff>
              </from>
              <to>
                <xdr:col>73</xdr:col>
                <xdr:colOff>0</xdr:colOff>
                <xdr:row>24</xdr:row>
                <xdr:rowOff>285750</xdr:rowOff>
              </to>
            </anchor>
          </controlPr>
        </control>
      </mc:Choice>
      <mc:Fallback>
        <control shapeId="1199" r:id="rId14" name="ComboBox23"/>
      </mc:Fallback>
    </mc:AlternateContent>
    <mc:AlternateContent xmlns:mc="http://schemas.openxmlformats.org/markup-compatibility/2006">
      <mc:Choice Requires="x14">
        <control shapeId="1198" r:id="rId15" name="ComboBox22">
          <controlPr defaultSize="0" autoLine="0" linkedCell="BU24" listFillRange="CH2:CH30" r:id="rId9">
            <anchor moveWithCells="1">
              <from>
                <xdr:col>72</xdr:col>
                <xdr:colOff>9525</xdr:colOff>
                <xdr:row>23</xdr:row>
                <xdr:rowOff>19050</xdr:rowOff>
              </from>
              <to>
                <xdr:col>73</xdr:col>
                <xdr:colOff>0</xdr:colOff>
                <xdr:row>23</xdr:row>
                <xdr:rowOff>285750</xdr:rowOff>
              </to>
            </anchor>
          </controlPr>
        </control>
      </mc:Choice>
      <mc:Fallback>
        <control shapeId="1198" r:id="rId15" name="ComboBox22"/>
      </mc:Fallback>
    </mc:AlternateContent>
    <mc:AlternateContent xmlns:mc="http://schemas.openxmlformats.org/markup-compatibility/2006">
      <mc:Choice Requires="x14">
        <control shapeId="1197" r:id="rId16" name="ComboBox21">
          <controlPr defaultSize="0" autoLine="0" linkedCell="BU23" listFillRange="CH2:CH30" r:id="rId9">
            <anchor moveWithCells="1">
              <from>
                <xdr:col>72</xdr:col>
                <xdr:colOff>9525</xdr:colOff>
                <xdr:row>22</xdr:row>
                <xdr:rowOff>19050</xdr:rowOff>
              </from>
              <to>
                <xdr:col>73</xdr:col>
                <xdr:colOff>0</xdr:colOff>
                <xdr:row>22</xdr:row>
                <xdr:rowOff>285750</xdr:rowOff>
              </to>
            </anchor>
          </controlPr>
        </control>
      </mc:Choice>
      <mc:Fallback>
        <control shapeId="1197" r:id="rId16" name="ComboBox21"/>
      </mc:Fallback>
    </mc:AlternateContent>
    <mc:AlternateContent xmlns:mc="http://schemas.openxmlformats.org/markup-compatibility/2006">
      <mc:Choice Requires="x14">
        <control shapeId="1196" r:id="rId17" name="ComboBox20">
          <controlPr defaultSize="0" autoLine="0" linkedCell="BU22" listFillRange="CH2:CH30" r:id="rId9">
            <anchor moveWithCells="1">
              <from>
                <xdr:col>72</xdr:col>
                <xdr:colOff>9525</xdr:colOff>
                <xdr:row>21</xdr:row>
                <xdr:rowOff>19050</xdr:rowOff>
              </from>
              <to>
                <xdr:col>73</xdr:col>
                <xdr:colOff>0</xdr:colOff>
                <xdr:row>21</xdr:row>
                <xdr:rowOff>285750</xdr:rowOff>
              </to>
            </anchor>
          </controlPr>
        </control>
      </mc:Choice>
      <mc:Fallback>
        <control shapeId="1196" r:id="rId17" name="ComboBox20"/>
      </mc:Fallback>
    </mc:AlternateContent>
    <mc:AlternateContent xmlns:mc="http://schemas.openxmlformats.org/markup-compatibility/2006">
      <mc:Choice Requires="x14">
        <control shapeId="1195" r:id="rId18" name="ComboBox19">
          <controlPr defaultSize="0" autoLine="0" linkedCell="BU21" listFillRange="CH2:CH30" r:id="rId9">
            <anchor moveWithCells="1">
              <from>
                <xdr:col>72</xdr:col>
                <xdr:colOff>9525</xdr:colOff>
                <xdr:row>20</xdr:row>
                <xdr:rowOff>19050</xdr:rowOff>
              </from>
              <to>
                <xdr:col>73</xdr:col>
                <xdr:colOff>0</xdr:colOff>
                <xdr:row>20</xdr:row>
                <xdr:rowOff>285750</xdr:rowOff>
              </to>
            </anchor>
          </controlPr>
        </control>
      </mc:Choice>
      <mc:Fallback>
        <control shapeId="1195" r:id="rId18" name="ComboBox19"/>
      </mc:Fallback>
    </mc:AlternateContent>
    <mc:AlternateContent xmlns:mc="http://schemas.openxmlformats.org/markup-compatibility/2006">
      <mc:Choice Requires="x14">
        <control shapeId="1194" r:id="rId19" name="ComboBox18">
          <controlPr defaultSize="0" autoLine="0" linkedCell="BU20" listFillRange="CH2:CH30" r:id="rId9">
            <anchor moveWithCells="1">
              <from>
                <xdr:col>72</xdr:col>
                <xdr:colOff>9525</xdr:colOff>
                <xdr:row>19</xdr:row>
                <xdr:rowOff>19050</xdr:rowOff>
              </from>
              <to>
                <xdr:col>73</xdr:col>
                <xdr:colOff>0</xdr:colOff>
                <xdr:row>19</xdr:row>
                <xdr:rowOff>285750</xdr:rowOff>
              </to>
            </anchor>
          </controlPr>
        </control>
      </mc:Choice>
      <mc:Fallback>
        <control shapeId="1194" r:id="rId19" name="ComboBox18"/>
      </mc:Fallback>
    </mc:AlternateContent>
    <mc:AlternateContent xmlns:mc="http://schemas.openxmlformats.org/markup-compatibility/2006">
      <mc:Choice Requires="x14">
        <control shapeId="1193" r:id="rId20" name="ComboBox17">
          <controlPr defaultSize="0" autoLine="0" linkedCell="BU19" listFillRange="CH2:CH30" r:id="rId9">
            <anchor moveWithCells="1">
              <from>
                <xdr:col>72</xdr:col>
                <xdr:colOff>9525</xdr:colOff>
                <xdr:row>18</xdr:row>
                <xdr:rowOff>19050</xdr:rowOff>
              </from>
              <to>
                <xdr:col>73</xdr:col>
                <xdr:colOff>0</xdr:colOff>
                <xdr:row>18</xdr:row>
                <xdr:rowOff>285750</xdr:rowOff>
              </to>
            </anchor>
          </controlPr>
        </control>
      </mc:Choice>
      <mc:Fallback>
        <control shapeId="1193" r:id="rId20" name="ComboBox17"/>
      </mc:Fallback>
    </mc:AlternateContent>
    <mc:AlternateContent xmlns:mc="http://schemas.openxmlformats.org/markup-compatibility/2006">
      <mc:Choice Requires="x14">
        <control shapeId="1192" r:id="rId21" name="ComboBox16">
          <controlPr defaultSize="0" autoLine="0" linkedCell="BU18" listFillRange="CH2:CH30" r:id="rId9">
            <anchor moveWithCells="1">
              <from>
                <xdr:col>72</xdr:col>
                <xdr:colOff>9525</xdr:colOff>
                <xdr:row>17</xdr:row>
                <xdr:rowOff>19050</xdr:rowOff>
              </from>
              <to>
                <xdr:col>73</xdr:col>
                <xdr:colOff>0</xdr:colOff>
                <xdr:row>17</xdr:row>
                <xdr:rowOff>285750</xdr:rowOff>
              </to>
            </anchor>
          </controlPr>
        </control>
      </mc:Choice>
      <mc:Fallback>
        <control shapeId="1192" r:id="rId21" name="ComboBox16"/>
      </mc:Fallback>
    </mc:AlternateContent>
    <mc:AlternateContent xmlns:mc="http://schemas.openxmlformats.org/markup-compatibility/2006">
      <mc:Choice Requires="x14">
        <control shapeId="1191" r:id="rId22" name="ComboBox15">
          <controlPr defaultSize="0" autoLine="0" linkedCell="BU17" listFillRange="CH2:CH30" r:id="rId9">
            <anchor moveWithCells="1">
              <from>
                <xdr:col>72</xdr:col>
                <xdr:colOff>9525</xdr:colOff>
                <xdr:row>16</xdr:row>
                <xdr:rowOff>19050</xdr:rowOff>
              </from>
              <to>
                <xdr:col>73</xdr:col>
                <xdr:colOff>0</xdr:colOff>
                <xdr:row>16</xdr:row>
                <xdr:rowOff>285750</xdr:rowOff>
              </to>
            </anchor>
          </controlPr>
        </control>
      </mc:Choice>
      <mc:Fallback>
        <control shapeId="1191" r:id="rId22" name="ComboBox15"/>
      </mc:Fallback>
    </mc:AlternateContent>
    <mc:AlternateContent xmlns:mc="http://schemas.openxmlformats.org/markup-compatibility/2006">
      <mc:Choice Requires="x14">
        <control shapeId="1190" r:id="rId23" name="ComboBox14">
          <controlPr defaultSize="0" autoLine="0" linkedCell="BU16" listFillRange="CH2:CH30" r:id="rId9">
            <anchor moveWithCells="1">
              <from>
                <xdr:col>72</xdr:col>
                <xdr:colOff>9525</xdr:colOff>
                <xdr:row>15</xdr:row>
                <xdr:rowOff>19050</xdr:rowOff>
              </from>
              <to>
                <xdr:col>73</xdr:col>
                <xdr:colOff>0</xdr:colOff>
                <xdr:row>15</xdr:row>
                <xdr:rowOff>285750</xdr:rowOff>
              </to>
            </anchor>
          </controlPr>
        </control>
      </mc:Choice>
      <mc:Fallback>
        <control shapeId="1190" r:id="rId23" name="ComboBox14"/>
      </mc:Fallback>
    </mc:AlternateContent>
    <mc:AlternateContent xmlns:mc="http://schemas.openxmlformats.org/markup-compatibility/2006">
      <mc:Choice Requires="x14">
        <control shapeId="1189" r:id="rId24" name="ComboBox13">
          <controlPr defaultSize="0" autoLine="0" linkedCell="BU15" listFillRange="CH2:CH30" r:id="rId9">
            <anchor moveWithCells="1">
              <from>
                <xdr:col>72</xdr:col>
                <xdr:colOff>9525</xdr:colOff>
                <xdr:row>14</xdr:row>
                <xdr:rowOff>19050</xdr:rowOff>
              </from>
              <to>
                <xdr:col>73</xdr:col>
                <xdr:colOff>0</xdr:colOff>
                <xdr:row>15</xdr:row>
                <xdr:rowOff>0</xdr:rowOff>
              </to>
            </anchor>
          </controlPr>
        </control>
      </mc:Choice>
      <mc:Fallback>
        <control shapeId="1189" r:id="rId24" name="ComboBox13"/>
      </mc:Fallback>
    </mc:AlternateContent>
    <mc:AlternateContent xmlns:mc="http://schemas.openxmlformats.org/markup-compatibility/2006">
      <mc:Choice Requires="x14">
        <control shapeId="1188" r:id="rId25" name="ComboBox12">
          <controlPr defaultSize="0" autoLine="0" linkedCell="BU14" listFillRange="CH2:CH30" r:id="rId9">
            <anchor moveWithCells="1">
              <from>
                <xdr:col>72</xdr:col>
                <xdr:colOff>9525</xdr:colOff>
                <xdr:row>13</xdr:row>
                <xdr:rowOff>19050</xdr:rowOff>
              </from>
              <to>
                <xdr:col>73</xdr:col>
                <xdr:colOff>0</xdr:colOff>
                <xdr:row>14</xdr:row>
                <xdr:rowOff>9525</xdr:rowOff>
              </to>
            </anchor>
          </controlPr>
        </control>
      </mc:Choice>
      <mc:Fallback>
        <control shapeId="1188" r:id="rId25" name="ComboBox12"/>
      </mc:Fallback>
    </mc:AlternateContent>
    <mc:AlternateContent xmlns:mc="http://schemas.openxmlformats.org/markup-compatibility/2006">
      <mc:Choice Requires="x14">
        <control shapeId="1187" r:id="rId26" name="ComboBox11">
          <controlPr defaultSize="0" autoLine="0" linkedCell="BU13" listFillRange="CH2:CH30" r:id="rId9">
            <anchor moveWithCells="1">
              <from>
                <xdr:col>72</xdr:col>
                <xdr:colOff>9525</xdr:colOff>
                <xdr:row>12</xdr:row>
                <xdr:rowOff>19050</xdr:rowOff>
              </from>
              <to>
                <xdr:col>73</xdr:col>
                <xdr:colOff>0</xdr:colOff>
                <xdr:row>12</xdr:row>
                <xdr:rowOff>285750</xdr:rowOff>
              </to>
            </anchor>
          </controlPr>
        </control>
      </mc:Choice>
      <mc:Fallback>
        <control shapeId="1187" r:id="rId26" name="ComboBox11"/>
      </mc:Fallback>
    </mc:AlternateContent>
    <mc:AlternateContent xmlns:mc="http://schemas.openxmlformats.org/markup-compatibility/2006">
      <mc:Choice Requires="x14">
        <control shapeId="1186" r:id="rId27" name="ComboBox10">
          <controlPr defaultSize="0" autoLine="0" linkedCell="BU12" listFillRange="CH2:CH30" r:id="rId9">
            <anchor moveWithCells="1">
              <from>
                <xdr:col>72</xdr:col>
                <xdr:colOff>9525</xdr:colOff>
                <xdr:row>11</xdr:row>
                <xdr:rowOff>19050</xdr:rowOff>
              </from>
              <to>
                <xdr:col>73</xdr:col>
                <xdr:colOff>0</xdr:colOff>
                <xdr:row>11</xdr:row>
                <xdr:rowOff>285750</xdr:rowOff>
              </to>
            </anchor>
          </controlPr>
        </control>
      </mc:Choice>
      <mc:Fallback>
        <control shapeId="1186" r:id="rId27" name="ComboBox10"/>
      </mc:Fallback>
    </mc:AlternateContent>
    <mc:AlternateContent xmlns:mc="http://schemas.openxmlformats.org/markup-compatibility/2006">
      <mc:Choice Requires="x14">
        <control shapeId="1185" r:id="rId28" name="ComboBox9">
          <controlPr defaultSize="0" autoLine="0" linkedCell="BU11" listFillRange="CH2:CH30" r:id="rId9">
            <anchor moveWithCells="1">
              <from>
                <xdr:col>72</xdr:col>
                <xdr:colOff>9525</xdr:colOff>
                <xdr:row>10</xdr:row>
                <xdr:rowOff>19050</xdr:rowOff>
              </from>
              <to>
                <xdr:col>73</xdr:col>
                <xdr:colOff>0</xdr:colOff>
                <xdr:row>10</xdr:row>
                <xdr:rowOff>285750</xdr:rowOff>
              </to>
            </anchor>
          </controlPr>
        </control>
      </mc:Choice>
      <mc:Fallback>
        <control shapeId="1185" r:id="rId28" name="ComboBox9"/>
      </mc:Fallback>
    </mc:AlternateContent>
    <mc:AlternateContent xmlns:mc="http://schemas.openxmlformats.org/markup-compatibility/2006">
      <mc:Choice Requires="x14">
        <control shapeId="1184" r:id="rId29" name="ComboBox8">
          <controlPr defaultSize="0" autoLine="0" linkedCell="BU10" listFillRange="CH2:CH30" r:id="rId9">
            <anchor moveWithCells="1">
              <from>
                <xdr:col>72</xdr:col>
                <xdr:colOff>9525</xdr:colOff>
                <xdr:row>9</xdr:row>
                <xdr:rowOff>19050</xdr:rowOff>
              </from>
              <to>
                <xdr:col>73</xdr:col>
                <xdr:colOff>0</xdr:colOff>
                <xdr:row>9</xdr:row>
                <xdr:rowOff>285750</xdr:rowOff>
              </to>
            </anchor>
          </controlPr>
        </control>
      </mc:Choice>
      <mc:Fallback>
        <control shapeId="1184" r:id="rId29" name="ComboBox8"/>
      </mc:Fallback>
    </mc:AlternateContent>
    <mc:AlternateContent xmlns:mc="http://schemas.openxmlformats.org/markup-compatibility/2006">
      <mc:Choice Requires="x14">
        <control shapeId="1183" r:id="rId30" name="ComboBox7">
          <controlPr defaultSize="0" autoLine="0" linkedCell="BU9" listFillRange="CH2:CH30" r:id="rId9">
            <anchor moveWithCells="1">
              <from>
                <xdr:col>72</xdr:col>
                <xdr:colOff>9525</xdr:colOff>
                <xdr:row>8</xdr:row>
                <xdr:rowOff>19050</xdr:rowOff>
              </from>
              <to>
                <xdr:col>73</xdr:col>
                <xdr:colOff>0</xdr:colOff>
                <xdr:row>8</xdr:row>
                <xdr:rowOff>285750</xdr:rowOff>
              </to>
            </anchor>
          </controlPr>
        </control>
      </mc:Choice>
      <mc:Fallback>
        <control shapeId="1183" r:id="rId30" name="ComboBox7"/>
      </mc:Fallback>
    </mc:AlternateContent>
    <mc:AlternateContent xmlns:mc="http://schemas.openxmlformats.org/markup-compatibility/2006">
      <mc:Choice Requires="x14">
        <control shapeId="1182" r:id="rId31" name="ComboBox6">
          <controlPr defaultSize="0" autoLine="0" linkedCell="BU8" listFillRange="CH2:CH30" r:id="rId9">
            <anchor moveWithCells="1">
              <from>
                <xdr:col>72</xdr:col>
                <xdr:colOff>9525</xdr:colOff>
                <xdr:row>7</xdr:row>
                <xdr:rowOff>19050</xdr:rowOff>
              </from>
              <to>
                <xdr:col>73</xdr:col>
                <xdr:colOff>0</xdr:colOff>
                <xdr:row>7</xdr:row>
                <xdr:rowOff>285750</xdr:rowOff>
              </to>
            </anchor>
          </controlPr>
        </control>
      </mc:Choice>
      <mc:Fallback>
        <control shapeId="1182" r:id="rId31" name="ComboBox6"/>
      </mc:Fallback>
    </mc:AlternateContent>
    <mc:AlternateContent xmlns:mc="http://schemas.openxmlformats.org/markup-compatibility/2006">
      <mc:Choice Requires="x14">
        <control shapeId="1181" r:id="rId32" name="ComboBox5">
          <controlPr defaultSize="0" autoLine="0" linkedCell="BU7" listFillRange="CH2:CH30" r:id="rId9">
            <anchor moveWithCells="1">
              <from>
                <xdr:col>72</xdr:col>
                <xdr:colOff>9525</xdr:colOff>
                <xdr:row>6</xdr:row>
                <xdr:rowOff>19050</xdr:rowOff>
              </from>
              <to>
                <xdr:col>73</xdr:col>
                <xdr:colOff>0</xdr:colOff>
                <xdr:row>6</xdr:row>
                <xdr:rowOff>285750</xdr:rowOff>
              </to>
            </anchor>
          </controlPr>
        </control>
      </mc:Choice>
      <mc:Fallback>
        <control shapeId="1181" r:id="rId32" name="ComboBox5"/>
      </mc:Fallback>
    </mc:AlternateContent>
    <mc:AlternateContent xmlns:mc="http://schemas.openxmlformats.org/markup-compatibility/2006">
      <mc:Choice Requires="x14">
        <control shapeId="1180" r:id="rId33" name="ComboBox4">
          <controlPr defaultSize="0" autoLine="0" linkedCell="BU5" listFillRange="CH2:CH30" r:id="rId34">
            <anchor moveWithCells="1">
              <from>
                <xdr:col>72</xdr:col>
                <xdr:colOff>9525</xdr:colOff>
                <xdr:row>4</xdr:row>
                <xdr:rowOff>19050</xdr:rowOff>
              </from>
              <to>
                <xdr:col>73</xdr:col>
                <xdr:colOff>0</xdr:colOff>
                <xdr:row>4</xdr:row>
                <xdr:rowOff>285750</xdr:rowOff>
              </to>
            </anchor>
          </controlPr>
        </control>
      </mc:Choice>
      <mc:Fallback>
        <control shapeId="1180" r:id="rId33" name="ComboBox4"/>
      </mc:Fallback>
    </mc:AlternateContent>
    <mc:AlternateContent xmlns:mc="http://schemas.openxmlformats.org/markup-compatibility/2006">
      <mc:Choice Requires="x14">
        <control shapeId="1178" r:id="rId35" name="ComboBox3">
          <controlPr defaultSize="0" autoLine="0" linkedCell="BU4" listFillRange="CH2:CH30" r:id="rId36">
            <anchor moveWithCells="1">
              <from>
                <xdr:col>72</xdr:col>
                <xdr:colOff>9525</xdr:colOff>
                <xdr:row>3</xdr:row>
                <xdr:rowOff>19050</xdr:rowOff>
              </from>
              <to>
                <xdr:col>73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178" r:id="rId35" name="ComboBox3"/>
      </mc:Fallback>
    </mc:AlternateContent>
    <mc:AlternateContent xmlns:mc="http://schemas.openxmlformats.org/markup-compatibility/2006">
      <mc:Choice Requires="x14">
        <control shapeId="1177" r:id="rId37" name="ComboBox2">
          <controlPr defaultSize="0" autoLine="0" linkedCell="BU3" listFillRange="CH2:CH30" r:id="rId38">
            <anchor moveWithCells="1">
              <from>
                <xdr:col>72</xdr:col>
                <xdr:colOff>9525</xdr:colOff>
                <xdr:row>2</xdr:row>
                <xdr:rowOff>19050</xdr:rowOff>
              </from>
              <to>
                <xdr:col>73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1177" r:id="rId37" name="ComboBox2"/>
      </mc:Fallback>
    </mc:AlternateContent>
    <mc:AlternateContent xmlns:mc="http://schemas.openxmlformats.org/markup-compatibility/2006">
      <mc:Choice Requires="x14">
        <control shapeId="1122" r:id="rId39" name="ComboBox1">
          <controlPr defaultSize="0" autoLine="0" linkedCell="BU2" listFillRange="CH2:CH30" r:id="rId40">
            <anchor moveWithCells="1">
              <from>
                <xdr:col>72</xdr:col>
                <xdr:colOff>9525</xdr:colOff>
                <xdr:row>1</xdr:row>
                <xdr:rowOff>19050</xdr:rowOff>
              </from>
              <to>
                <xdr:col>73</xdr:col>
                <xdr:colOff>9525</xdr:colOff>
                <xdr:row>1</xdr:row>
                <xdr:rowOff>285750</xdr:rowOff>
              </to>
            </anchor>
          </controlPr>
        </control>
      </mc:Choice>
      <mc:Fallback>
        <control shapeId="1122" r:id="rId39" name="ComboBox1"/>
      </mc:Fallback>
    </mc:AlternateContent>
    <mc:AlternateContent xmlns:mc="http://schemas.openxmlformats.org/markup-compatibility/2006">
      <mc:Choice Requires="x14">
        <control shapeId="1220" r:id="rId41" name="ComboBox36">
          <controlPr defaultSize="0" autoLine="0" linkedCell="BV3" listFillRange="CI2:CI30" r:id="rId42">
            <anchor moveWithCells="1">
              <from>
                <xdr:col>73</xdr:col>
                <xdr:colOff>9525</xdr:colOff>
                <xdr:row>2</xdr:row>
                <xdr:rowOff>19050</xdr:rowOff>
              </from>
              <to>
                <xdr:col>74</xdr:col>
                <xdr:colOff>28575</xdr:colOff>
                <xdr:row>3</xdr:row>
                <xdr:rowOff>0</xdr:rowOff>
              </to>
            </anchor>
          </controlPr>
        </control>
      </mc:Choice>
      <mc:Fallback>
        <control shapeId="1220" r:id="rId41" name="ComboBox36"/>
      </mc:Fallback>
    </mc:AlternateContent>
    <mc:AlternateContent xmlns:mc="http://schemas.openxmlformats.org/markup-compatibility/2006">
      <mc:Choice Requires="x14">
        <control shapeId="1221" r:id="rId43" name="ComboBox45">
          <controlPr defaultSize="0" autoLine="0" linkedCell="BV4" listFillRange="CI2:CI30" r:id="rId44">
            <anchor moveWithCells="1">
              <from>
                <xdr:col>73</xdr:col>
                <xdr:colOff>9525</xdr:colOff>
                <xdr:row>3</xdr:row>
                <xdr:rowOff>19050</xdr:rowOff>
              </from>
              <to>
                <xdr:col>74</xdr:col>
                <xdr:colOff>28575</xdr:colOff>
                <xdr:row>4</xdr:row>
                <xdr:rowOff>0</xdr:rowOff>
              </to>
            </anchor>
          </controlPr>
        </control>
      </mc:Choice>
      <mc:Fallback>
        <control shapeId="1221" r:id="rId43" name="ComboBox45"/>
      </mc:Fallback>
    </mc:AlternateContent>
    <mc:AlternateContent xmlns:mc="http://schemas.openxmlformats.org/markup-compatibility/2006">
      <mc:Choice Requires="x14">
        <control shapeId="1222" r:id="rId45" name="ComboBox46">
          <controlPr defaultSize="0" autoLine="0" linkedCell="BV5" listFillRange="CI2:CI30" r:id="rId46">
            <anchor moveWithCells="1">
              <from>
                <xdr:col>73</xdr:col>
                <xdr:colOff>9525</xdr:colOff>
                <xdr:row>4</xdr:row>
                <xdr:rowOff>19050</xdr:rowOff>
              </from>
              <to>
                <xdr:col>74</xdr:col>
                <xdr:colOff>28575</xdr:colOff>
                <xdr:row>4</xdr:row>
                <xdr:rowOff>285750</xdr:rowOff>
              </to>
            </anchor>
          </controlPr>
        </control>
      </mc:Choice>
      <mc:Fallback>
        <control shapeId="1222" r:id="rId45" name="ComboBox46"/>
      </mc:Fallback>
    </mc:AlternateContent>
    <mc:AlternateContent xmlns:mc="http://schemas.openxmlformats.org/markup-compatibility/2006">
      <mc:Choice Requires="x14">
        <control shapeId="1223" r:id="rId47" name="ComboBox47">
          <controlPr defaultSize="0" autoLine="0" linkedCell="BV6" listFillRange="CI2:CI30" r:id="rId42">
            <anchor moveWithCells="1">
              <from>
                <xdr:col>73</xdr:col>
                <xdr:colOff>9525</xdr:colOff>
                <xdr:row>5</xdr:row>
                <xdr:rowOff>19050</xdr:rowOff>
              </from>
              <to>
                <xdr:col>74</xdr:col>
                <xdr:colOff>28575</xdr:colOff>
                <xdr:row>5</xdr:row>
                <xdr:rowOff>285750</xdr:rowOff>
              </to>
            </anchor>
          </controlPr>
        </control>
      </mc:Choice>
      <mc:Fallback>
        <control shapeId="1223" r:id="rId47" name="ComboBox47"/>
      </mc:Fallback>
    </mc:AlternateContent>
    <mc:AlternateContent xmlns:mc="http://schemas.openxmlformats.org/markup-compatibility/2006">
      <mc:Choice Requires="x14">
        <control shapeId="1224" r:id="rId48" name="ComboBox48">
          <controlPr defaultSize="0" autoLine="0" linkedCell="BV7" listFillRange="CI2:CI30" r:id="rId9">
            <anchor moveWithCells="1">
              <from>
                <xdr:col>73</xdr:col>
                <xdr:colOff>9525</xdr:colOff>
                <xdr:row>6</xdr:row>
                <xdr:rowOff>19050</xdr:rowOff>
              </from>
              <to>
                <xdr:col>74</xdr:col>
                <xdr:colOff>28575</xdr:colOff>
                <xdr:row>6</xdr:row>
                <xdr:rowOff>285750</xdr:rowOff>
              </to>
            </anchor>
          </controlPr>
        </control>
      </mc:Choice>
      <mc:Fallback>
        <control shapeId="1224" r:id="rId48" name="ComboBox48"/>
      </mc:Fallback>
    </mc:AlternateContent>
    <mc:AlternateContent xmlns:mc="http://schemas.openxmlformats.org/markup-compatibility/2006">
      <mc:Choice Requires="x14">
        <control shapeId="1225" r:id="rId49" name="ComboBox49">
          <controlPr defaultSize="0" autoLine="0" autoPict="0" linkedCell="BV8" listFillRange="CI2:CI30" r:id="rId50">
            <anchor moveWithCells="1">
              <from>
                <xdr:col>73</xdr:col>
                <xdr:colOff>9525</xdr:colOff>
                <xdr:row>7</xdr:row>
                <xdr:rowOff>19050</xdr:rowOff>
              </from>
              <to>
                <xdr:col>74</xdr:col>
                <xdr:colOff>28575</xdr:colOff>
                <xdr:row>7</xdr:row>
                <xdr:rowOff>333375</xdr:rowOff>
              </to>
            </anchor>
          </controlPr>
        </control>
      </mc:Choice>
      <mc:Fallback>
        <control shapeId="1225" r:id="rId49" name="ComboBox49"/>
      </mc:Fallback>
    </mc:AlternateContent>
    <mc:AlternateContent xmlns:mc="http://schemas.openxmlformats.org/markup-compatibility/2006">
      <mc:Choice Requires="x14">
        <control shapeId="1226" r:id="rId51" name="ComboBox50">
          <controlPr defaultSize="0" autoLine="0" linkedCell="BV9" listFillRange="CI2:CI30" r:id="rId9">
            <anchor moveWithCells="1">
              <from>
                <xdr:col>73</xdr:col>
                <xdr:colOff>9525</xdr:colOff>
                <xdr:row>8</xdr:row>
                <xdr:rowOff>19050</xdr:rowOff>
              </from>
              <to>
                <xdr:col>74</xdr:col>
                <xdr:colOff>28575</xdr:colOff>
                <xdr:row>8</xdr:row>
                <xdr:rowOff>285750</xdr:rowOff>
              </to>
            </anchor>
          </controlPr>
        </control>
      </mc:Choice>
      <mc:Fallback>
        <control shapeId="1226" r:id="rId51" name="ComboBox50"/>
      </mc:Fallback>
    </mc:AlternateContent>
    <mc:AlternateContent xmlns:mc="http://schemas.openxmlformats.org/markup-compatibility/2006">
      <mc:Choice Requires="x14">
        <control shapeId="1227" r:id="rId52" name="ComboBox51">
          <controlPr defaultSize="0" autoLine="0" linkedCell="BV10" listFillRange="CI2:CI30" r:id="rId9">
            <anchor moveWithCells="1">
              <from>
                <xdr:col>73</xdr:col>
                <xdr:colOff>9525</xdr:colOff>
                <xdr:row>9</xdr:row>
                <xdr:rowOff>19050</xdr:rowOff>
              </from>
              <to>
                <xdr:col>74</xdr:col>
                <xdr:colOff>28575</xdr:colOff>
                <xdr:row>9</xdr:row>
                <xdr:rowOff>285750</xdr:rowOff>
              </to>
            </anchor>
          </controlPr>
        </control>
      </mc:Choice>
      <mc:Fallback>
        <control shapeId="1227" r:id="rId52" name="ComboBox51"/>
      </mc:Fallback>
    </mc:AlternateContent>
    <mc:AlternateContent xmlns:mc="http://schemas.openxmlformats.org/markup-compatibility/2006">
      <mc:Choice Requires="x14">
        <control shapeId="1228" r:id="rId53" name="ComboBox52">
          <controlPr defaultSize="0" autoLine="0" linkedCell="BV11" listFillRange="CI2:CI30" r:id="rId9">
            <anchor moveWithCells="1">
              <from>
                <xdr:col>73</xdr:col>
                <xdr:colOff>9525</xdr:colOff>
                <xdr:row>10</xdr:row>
                <xdr:rowOff>19050</xdr:rowOff>
              </from>
              <to>
                <xdr:col>74</xdr:col>
                <xdr:colOff>28575</xdr:colOff>
                <xdr:row>10</xdr:row>
                <xdr:rowOff>285750</xdr:rowOff>
              </to>
            </anchor>
          </controlPr>
        </control>
      </mc:Choice>
      <mc:Fallback>
        <control shapeId="1228" r:id="rId53" name="ComboBox52"/>
      </mc:Fallback>
    </mc:AlternateContent>
    <mc:AlternateContent xmlns:mc="http://schemas.openxmlformats.org/markup-compatibility/2006">
      <mc:Choice Requires="x14">
        <control shapeId="1229" r:id="rId54" name="ComboBox53">
          <controlPr defaultSize="0" autoLine="0" linkedCell="BV12" listFillRange="CI2:CI30" r:id="rId9">
            <anchor moveWithCells="1">
              <from>
                <xdr:col>73</xdr:col>
                <xdr:colOff>9525</xdr:colOff>
                <xdr:row>11</xdr:row>
                <xdr:rowOff>19050</xdr:rowOff>
              </from>
              <to>
                <xdr:col>74</xdr:col>
                <xdr:colOff>28575</xdr:colOff>
                <xdr:row>11</xdr:row>
                <xdr:rowOff>285750</xdr:rowOff>
              </to>
            </anchor>
          </controlPr>
        </control>
      </mc:Choice>
      <mc:Fallback>
        <control shapeId="1229" r:id="rId54" name="ComboBox53"/>
      </mc:Fallback>
    </mc:AlternateContent>
    <mc:AlternateContent xmlns:mc="http://schemas.openxmlformats.org/markup-compatibility/2006">
      <mc:Choice Requires="x14">
        <control shapeId="1230" r:id="rId55" name="ComboBox54">
          <controlPr defaultSize="0" autoLine="0" linkedCell="BV13" listFillRange="CI2:CI30" r:id="rId9">
            <anchor moveWithCells="1">
              <from>
                <xdr:col>73</xdr:col>
                <xdr:colOff>9525</xdr:colOff>
                <xdr:row>12</xdr:row>
                <xdr:rowOff>19050</xdr:rowOff>
              </from>
              <to>
                <xdr:col>74</xdr:col>
                <xdr:colOff>28575</xdr:colOff>
                <xdr:row>12</xdr:row>
                <xdr:rowOff>285750</xdr:rowOff>
              </to>
            </anchor>
          </controlPr>
        </control>
      </mc:Choice>
      <mc:Fallback>
        <control shapeId="1230" r:id="rId55" name="ComboBox54"/>
      </mc:Fallback>
    </mc:AlternateContent>
    <mc:AlternateContent xmlns:mc="http://schemas.openxmlformats.org/markup-compatibility/2006">
      <mc:Choice Requires="x14">
        <control shapeId="1231" r:id="rId56" name="ComboBox55">
          <controlPr defaultSize="0" autoLine="0" linkedCell="BV14" listFillRange="CI2:CI30" r:id="rId9">
            <anchor moveWithCells="1">
              <from>
                <xdr:col>73</xdr:col>
                <xdr:colOff>9525</xdr:colOff>
                <xdr:row>13</xdr:row>
                <xdr:rowOff>19050</xdr:rowOff>
              </from>
              <to>
                <xdr:col>74</xdr:col>
                <xdr:colOff>28575</xdr:colOff>
                <xdr:row>14</xdr:row>
                <xdr:rowOff>9525</xdr:rowOff>
              </to>
            </anchor>
          </controlPr>
        </control>
      </mc:Choice>
      <mc:Fallback>
        <control shapeId="1231" r:id="rId56" name="ComboBox55"/>
      </mc:Fallback>
    </mc:AlternateContent>
    <mc:AlternateContent xmlns:mc="http://schemas.openxmlformats.org/markup-compatibility/2006">
      <mc:Choice Requires="x14">
        <control shapeId="1232" r:id="rId57" name="ComboBox56">
          <controlPr defaultSize="0" autoLine="0" linkedCell="BV15" listFillRange="CI2:CI30" r:id="rId9">
            <anchor moveWithCells="1">
              <from>
                <xdr:col>73</xdr:col>
                <xdr:colOff>9525</xdr:colOff>
                <xdr:row>14</xdr:row>
                <xdr:rowOff>19050</xdr:rowOff>
              </from>
              <to>
                <xdr:col>74</xdr:col>
                <xdr:colOff>28575</xdr:colOff>
                <xdr:row>15</xdr:row>
                <xdr:rowOff>0</xdr:rowOff>
              </to>
            </anchor>
          </controlPr>
        </control>
      </mc:Choice>
      <mc:Fallback>
        <control shapeId="1232" r:id="rId57" name="ComboBox56"/>
      </mc:Fallback>
    </mc:AlternateContent>
    <mc:AlternateContent xmlns:mc="http://schemas.openxmlformats.org/markup-compatibility/2006">
      <mc:Choice Requires="x14">
        <control shapeId="1233" r:id="rId58" name="ComboBox57">
          <controlPr defaultSize="0" autoLine="0" linkedCell="BV16" listFillRange="CI2:CI30" r:id="rId9">
            <anchor moveWithCells="1">
              <from>
                <xdr:col>73</xdr:col>
                <xdr:colOff>9525</xdr:colOff>
                <xdr:row>15</xdr:row>
                <xdr:rowOff>19050</xdr:rowOff>
              </from>
              <to>
                <xdr:col>74</xdr:col>
                <xdr:colOff>28575</xdr:colOff>
                <xdr:row>15</xdr:row>
                <xdr:rowOff>285750</xdr:rowOff>
              </to>
            </anchor>
          </controlPr>
        </control>
      </mc:Choice>
      <mc:Fallback>
        <control shapeId="1233" r:id="rId58" name="ComboBox57"/>
      </mc:Fallback>
    </mc:AlternateContent>
    <mc:AlternateContent xmlns:mc="http://schemas.openxmlformats.org/markup-compatibility/2006">
      <mc:Choice Requires="x14">
        <control shapeId="1234" r:id="rId59" name="ComboBox58">
          <controlPr defaultSize="0" autoLine="0" linkedCell="BV17" listFillRange="CI2:CI30" r:id="rId9">
            <anchor moveWithCells="1">
              <from>
                <xdr:col>73</xdr:col>
                <xdr:colOff>9525</xdr:colOff>
                <xdr:row>16</xdr:row>
                <xdr:rowOff>19050</xdr:rowOff>
              </from>
              <to>
                <xdr:col>74</xdr:col>
                <xdr:colOff>28575</xdr:colOff>
                <xdr:row>16</xdr:row>
                <xdr:rowOff>285750</xdr:rowOff>
              </to>
            </anchor>
          </controlPr>
        </control>
      </mc:Choice>
      <mc:Fallback>
        <control shapeId="1234" r:id="rId59" name="ComboBox58"/>
      </mc:Fallback>
    </mc:AlternateContent>
    <mc:AlternateContent xmlns:mc="http://schemas.openxmlformats.org/markup-compatibility/2006">
      <mc:Choice Requires="x14">
        <control shapeId="1235" r:id="rId60" name="ComboBox59">
          <controlPr defaultSize="0" autoLine="0" linkedCell="BV18" listFillRange="CI2:CI30" r:id="rId9">
            <anchor moveWithCells="1">
              <from>
                <xdr:col>73</xdr:col>
                <xdr:colOff>9525</xdr:colOff>
                <xdr:row>17</xdr:row>
                <xdr:rowOff>19050</xdr:rowOff>
              </from>
              <to>
                <xdr:col>74</xdr:col>
                <xdr:colOff>28575</xdr:colOff>
                <xdr:row>17</xdr:row>
                <xdr:rowOff>285750</xdr:rowOff>
              </to>
            </anchor>
          </controlPr>
        </control>
      </mc:Choice>
      <mc:Fallback>
        <control shapeId="1235" r:id="rId60" name="ComboBox59"/>
      </mc:Fallback>
    </mc:AlternateContent>
    <mc:AlternateContent xmlns:mc="http://schemas.openxmlformats.org/markup-compatibility/2006">
      <mc:Choice Requires="x14">
        <control shapeId="1236" r:id="rId61" name="ComboBox60">
          <controlPr defaultSize="0" autoLine="0" linkedCell="BV19" listFillRange="CI2:CI30" r:id="rId9">
            <anchor moveWithCells="1">
              <from>
                <xdr:col>73</xdr:col>
                <xdr:colOff>9525</xdr:colOff>
                <xdr:row>18</xdr:row>
                <xdr:rowOff>19050</xdr:rowOff>
              </from>
              <to>
                <xdr:col>74</xdr:col>
                <xdr:colOff>28575</xdr:colOff>
                <xdr:row>18</xdr:row>
                <xdr:rowOff>285750</xdr:rowOff>
              </to>
            </anchor>
          </controlPr>
        </control>
      </mc:Choice>
      <mc:Fallback>
        <control shapeId="1236" r:id="rId61" name="ComboBox60"/>
      </mc:Fallback>
    </mc:AlternateContent>
    <mc:AlternateContent xmlns:mc="http://schemas.openxmlformats.org/markup-compatibility/2006">
      <mc:Choice Requires="x14">
        <control shapeId="1237" r:id="rId62" name="ComboBox61">
          <controlPr defaultSize="0" autoLine="0" linkedCell="BV20" listFillRange="CI2:CI30" r:id="rId9">
            <anchor moveWithCells="1">
              <from>
                <xdr:col>73</xdr:col>
                <xdr:colOff>9525</xdr:colOff>
                <xdr:row>19</xdr:row>
                <xdr:rowOff>19050</xdr:rowOff>
              </from>
              <to>
                <xdr:col>74</xdr:col>
                <xdr:colOff>28575</xdr:colOff>
                <xdr:row>19</xdr:row>
                <xdr:rowOff>285750</xdr:rowOff>
              </to>
            </anchor>
          </controlPr>
        </control>
      </mc:Choice>
      <mc:Fallback>
        <control shapeId="1237" r:id="rId62" name="ComboBox61"/>
      </mc:Fallback>
    </mc:AlternateContent>
    <mc:AlternateContent xmlns:mc="http://schemas.openxmlformats.org/markup-compatibility/2006">
      <mc:Choice Requires="x14">
        <control shapeId="1238" r:id="rId63" name="ComboBox62">
          <controlPr defaultSize="0" autoLine="0" linkedCell="BV21" listFillRange="CI2:CI30" r:id="rId9">
            <anchor moveWithCells="1">
              <from>
                <xdr:col>73</xdr:col>
                <xdr:colOff>9525</xdr:colOff>
                <xdr:row>20</xdr:row>
                <xdr:rowOff>19050</xdr:rowOff>
              </from>
              <to>
                <xdr:col>74</xdr:col>
                <xdr:colOff>28575</xdr:colOff>
                <xdr:row>20</xdr:row>
                <xdr:rowOff>285750</xdr:rowOff>
              </to>
            </anchor>
          </controlPr>
        </control>
      </mc:Choice>
      <mc:Fallback>
        <control shapeId="1238" r:id="rId63" name="ComboBox62"/>
      </mc:Fallback>
    </mc:AlternateContent>
    <mc:AlternateContent xmlns:mc="http://schemas.openxmlformats.org/markup-compatibility/2006">
      <mc:Choice Requires="x14">
        <control shapeId="1239" r:id="rId64" name="ComboBox63">
          <controlPr defaultSize="0" autoLine="0" linkedCell="BV22" listFillRange="CI2:CI30" r:id="rId9">
            <anchor moveWithCells="1">
              <from>
                <xdr:col>73</xdr:col>
                <xdr:colOff>9525</xdr:colOff>
                <xdr:row>21</xdr:row>
                <xdr:rowOff>19050</xdr:rowOff>
              </from>
              <to>
                <xdr:col>74</xdr:col>
                <xdr:colOff>28575</xdr:colOff>
                <xdr:row>21</xdr:row>
                <xdr:rowOff>285750</xdr:rowOff>
              </to>
            </anchor>
          </controlPr>
        </control>
      </mc:Choice>
      <mc:Fallback>
        <control shapeId="1239" r:id="rId64" name="ComboBox63"/>
      </mc:Fallback>
    </mc:AlternateContent>
    <mc:AlternateContent xmlns:mc="http://schemas.openxmlformats.org/markup-compatibility/2006">
      <mc:Choice Requires="x14">
        <control shapeId="1240" r:id="rId65" name="ComboBox64">
          <controlPr defaultSize="0" autoLine="0" linkedCell="BV23" listFillRange="CI2:CI30" r:id="rId9">
            <anchor moveWithCells="1">
              <from>
                <xdr:col>73</xdr:col>
                <xdr:colOff>9525</xdr:colOff>
                <xdr:row>22</xdr:row>
                <xdr:rowOff>19050</xdr:rowOff>
              </from>
              <to>
                <xdr:col>74</xdr:col>
                <xdr:colOff>28575</xdr:colOff>
                <xdr:row>22</xdr:row>
                <xdr:rowOff>285750</xdr:rowOff>
              </to>
            </anchor>
          </controlPr>
        </control>
      </mc:Choice>
      <mc:Fallback>
        <control shapeId="1240" r:id="rId65" name="ComboBox64"/>
      </mc:Fallback>
    </mc:AlternateContent>
    <mc:AlternateContent xmlns:mc="http://schemas.openxmlformats.org/markup-compatibility/2006">
      <mc:Choice Requires="x14">
        <control shapeId="1241" r:id="rId66" name="ComboBox65">
          <controlPr defaultSize="0" autoLine="0" linkedCell="BV24" listFillRange="CI2:CI30" r:id="rId9">
            <anchor moveWithCells="1">
              <from>
                <xdr:col>73</xdr:col>
                <xdr:colOff>9525</xdr:colOff>
                <xdr:row>23</xdr:row>
                <xdr:rowOff>19050</xdr:rowOff>
              </from>
              <to>
                <xdr:col>74</xdr:col>
                <xdr:colOff>28575</xdr:colOff>
                <xdr:row>23</xdr:row>
                <xdr:rowOff>285750</xdr:rowOff>
              </to>
            </anchor>
          </controlPr>
        </control>
      </mc:Choice>
      <mc:Fallback>
        <control shapeId="1241" r:id="rId66" name="ComboBox65"/>
      </mc:Fallback>
    </mc:AlternateContent>
    <mc:AlternateContent xmlns:mc="http://schemas.openxmlformats.org/markup-compatibility/2006">
      <mc:Choice Requires="x14">
        <control shapeId="1242" r:id="rId67" name="ComboBox66">
          <controlPr defaultSize="0" autoLine="0" linkedCell="BV25" listFillRange="CI2:CI30" r:id="rId9">
            <anchor moveWithCells="1">
              <from>
                <xdr:col>73</xdr:col>
                <xdr:colOff>9525</xdr:colOff>
                <xdr:row>24</xdr:row>
                <xdr:rowOff>19050</xdr:rowOff>
              </from>
              <to>
                <xdr:col>74</xdr:col>
                <xdr:colOff>28575</xdr:colOff>
                <xdr:row>24</xdr:row>
                <xdr:rowOff>285750</xdr:rowOff>
              </to>
            </anchor>
          </controlPr>
        </control>
      </mc:Choice>
      <mc:Fallback>
        <control shapeId="1242" r:id="rId67" name="ComboBox66"/>
      </mc:Fallback>
    </mc:AlternateContent>
    <mc:AlternateContent xmlns:mc="http://schemas.openxmlformats.org/markup-compatibility/2006">
      <mc:Choice Requires="x14">
        <control shapeId="1243" r:id="rId68" name="ComboBox67">
          <controlPr defaultSize="0" autoLine="0" linkedCell="BV26" listFillRange="CI2:CI30" r:id="rId9">
            <anchor moveWithCells="1">
              <from>
                <xdr:col>73</xdr:col>
                <xdr:colOff>9525</xdr:colOff>
                <xdr:row>25</xdr:row>
                <xdr:rowOff>19050</xdr:rowOff>
              </from>
              <to>
                <xdr:col>74</xdr:col>
                <xdr:colOff>28575</xdr:colOff>
                <xdr:row>25</xdr:row>
                <xdr:rowOff>285750</xdr:rowOff>
              </to>
            </anchor>
          </controlPr>
        </control>
      </mc:Choice>
      <mc:Fallback>
        <control shapeId="1243" r:id="rId68" name="ComboBox67"/>
      </mc:Fallback>
    </mc:AlternateContent>
    <mc:AlternateContent xmlns:mc="http://schemas.openxmlformats.org/markup-compatibility/2006">
      <mc:Choice Requires="x14">
        <control shapeId="1244" r:id="rId69" name="ComboBox68">
          <controlPr defaultSize="0" autoLine="0" linkedCell="BV27" listFillRange="CI2:CI30" r:id="rId9">
            <anchor moveWithCells="1">
              <from>
                <xdr:col>73</xdr:col>
                <xdr:colOff>9525</xdr:colOff>
                <xdr:row>26</xdr:row>
                <xdr:rowOff>19050</xdr:rowOff>
              </from>
              <to>
                <xdr:col>74</xdr:col>
                <xdr:colOff>28575</xdr:colOff>
                <xdr:row>26</xdr:row>
                <xdr:rowOff>285750</xdr:rowOff>
              </to>
            </anchor>
          </controlPr>
        </control>
      </mc:Choice>
      <mc:Fallback>
        <control shapeId="1244" r:id="rId69" name="ComboBox68"/>
      </mc:Fallback>
    </mc:AlternateContent>
    <mc:AlternateContent xmlns:mc="http://schemas.openxmlformats.org/markup-compatibility/2006">
      <mc:Choice Requires="x14">
        <control shapeId="1245" r:id="rId70" name="ComboBox69">
          <controlPr defaultSize="0" autoLine="0" linkedCell="BV28" listFillRange="CI2:CI30" r:id="rId9">
            <anchor moveWithCells="1">
              <from>
                <xdr:col>73</xdr:col>
                <xdr:colOff>9525</xdr:colOff>
                <xdr:row>27</xdr:row>
                <xdr:rowOff>19050</xdr:rowOff>
              </from>
              <to>
                <xdr:col>74</xdr:col>
                <xdr:colOff>28575</xdr:colOff>
                <xdr:row>27</xdr:row>
                <xdr:rowOff>285750</xdr:rowOff>
              </to>
            </anchor>
          </controlPr>
        </control>
      </mc:Choice>
      <mc:Fallback>
        <control shapeId="1245" r:id="rId70" name="ComboBox69"/>
      </mc:Fallback>
    </mc:AlternateContent>
    <mc:AlternateContent xmlns:mc="http://schemas.openxmlformats.org/markup-compatibility/2006">
      <mc:Choice Requires="x14">
        <control shapeId="1246" r:id="rId71" name="ComboBox70">
          <controlPr defaultSize="0" autoLine="0" linkedCell="BV29" listFillRange="CI2:CI30" r:id="rId9">
            <anchor moveWithCells="1">
              <from>
                <xdr:col>73</xdr:col>
                <xdr:colOff>9525</xdr:colOff>
                <xdr:row>28</xdr:row>
                <xdr:rowOff>19050</xdr:rowOff>
              </from>
              <to>
                <xdr:col>74</xdr:col>
                <xdr:colOff>28575</xdr:colOff>
                <xdr:row>28</xdr:row>
                <xdr:rowOff>285750</xdr:rowOff>
              </to>
            </anchor>
          </controlPr>
        </control>
      </mc:Choice>
      <mc:Fallback>
        <control shapeId="1246" r:id="rId71" name="ComboBox70"/>
      </mc:Fallback>
    </mc:AlternateContent>
    <mc:AlternateContent xmlns:mc="http://schemas.openxmlformats.org/markup-compatibility/2006">
      <mc:Choice Requires="x14">
        <control shapeId="1247" r:id="rId72" name="ComboBox71">
          <controlPr defaultSize="0" autoLine="0" linkedCell="BV30" listFillRange="CI2:CI30" r:id="rId9">
            <anchor moveWithCells="1">
              <from>
                <xdr:col>73</xdr:col>
                <xdr:colOff>9525</xdr:colOff>
                <xdr:row>29</xdr:row>
                <xdr:rowOff>19050</xdr:rowOff>
              </from>
              <to>
                <xdr:col>74</xdr:col>
                <xdr:colOff>28575</xdr:colOff>
                <xdr:row>29</xdr:row>
                <xdr:rowOff>285750</xdr:rowOff>
              </to>
            </anchor>
          </controlPr>
        </control>
      </mc:Choice>
      <mc:Fallback>
        <control shapeId="1247" r:id="rId72" name="ComboBox7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J28"/>
  <sheetViews>
    <sheetView zoomScale="140" zoomScaleNormal="140" workbookViewId="0">
      <selection activeCell="B1" sqref="B1:J1"/>
    </sheetView>
  </sheetViews>
  <sheetFormatPr defaultRowHeight="15" x14ac:dyDescent="0.25"/>
  <cols>
    <col min="2" max="2" width="9.140625" customWidth="1"/>
    <col min="4" max="4" width="14.85546875" customWidth="1"/>
    <col min="6" max="6" width="11.5703125" customWidth="1"/>
    <col min="7" max="7" width="12.42578125" customWidth="1"/>
    <col min="8" max="8" width="13" customWidth="1"/>
  </cols>
  <sheetData>
    <row r="1" spans="1:10" ht="104.25" customHeight="1" x14ac:dyDescent="0.3">
      <c r="A1" s="10"/>
      <c r="B1" s="104" t="s">
        <v>88</v>
      </c>
      <c r="C1" s="105"/>
      <c r="D1" s="105"/>
      <c r="E1" s="105"/>
      <c r="F1" s="105"/>
      <c r="G1" s="105"/>
      <c r="H1" s="105"/>
      <c r="I1" s="105"/>
      <c r="J1" s="106"/>
    </row>
    <row r="2" spans="1:10" ht="24" customHeight="1" x14ac:dyDescent="0.35">
      <c r="A2" s="10"/>
      <c r="B2" s="108" t="s">
        <v>59</v>
      </c>
      <c r="C2" s="109"/>
      <c r="D2" s="109"/>
      <c r="E2" s="109"/>
      <c r="F2" s="109"/>
      <c r="G2" s="109"/>
      <c r="H2" s="109"/>
      <c r="I2" s="109"/>
      <c r="J2" s="110"/>
    </row>
    <row r="3" spans="1:10" x14ac:dyDescent="0.25">
      <c r="A3" s="1"/>
      <c r="B3" s="1" t="s">
        <v>60</v>
      </c>
      <c r="C3" s="107"/>
      <c r="D3" s="107"/>
      <c r="E3" s="107"/>
      <c r="F3" s="107"/>
      <c r="G3" s="107"/>
      <c r="H3" s="1" t="s">
        <v>61</v>
      </c>
      <c r="I3" s="107"/>
      <c r="J3" s="107"/>
    </row>
    <row r="4" spans="1:10" x14ac:dyDescent="0.25">
      <c r="A4" s="1"/>
      <c r="B4" s="1" t="s">
        <v>4</v>
      </c>
      <c r="C4" s="1"/>
      <c r="D4" s="1" t="s">
        <v>62</v>
      </c>
      <c r="E4" s="1"/>
      <c r="F4" s="1" t="s">
        <v>54</v>
      </c>
      <c r="G4" s="1"/>
      <c r="H4" s="1" t="s">
        <v>5</v>
      </c>
      <c r="I4" s="107"/>
      <c r="J4" s="107"/>
    </row>
    <row r="5" spans="1:10" x14ac:dyDescent="0.25">
      <c r="A5" s="1"/>
      <c r="B5" s="1" t="s">
        <v>3</v>
      </c>
      <c r="C5" s="1"/>
      <c r="D5" s="1" t="s">
        <v>6</v>
      </c>
      <c r="E5" s="1"/>
      <c r="F5" s="111"/>
      <c r="G5" s="113"/>
      <c r="H5" s="1" t="s">
        <v>65</v>
      </c>
      <c r="I5" s="111"/>
      <c r="J5" s="113"/>
    </row>
    <row r="6" spans="1:10" x14ac:dyDescent="0.25">
      <c r="A6" s="1"/>
      <c r="B6" s="111"/>
      <c r="C6" s="112"/>
      <c r="D6" s="112"/>
      <c r="E6" s="112"/>
      <c r="F6" s="112"/>
      <c r="G6" s="112"/>
      <c r="H6" s="112"/>
      <c r="I6" s="112"/>
      <c r="J6" s="113"/>
    </row>
    <row r="7" spans="1:10" ht="30" x14ac:dyDescent="0.25">
      <c r="A7" s="1"/>
      <c r="B7" s="1" t="s">
        <v>63</v>
      </c>
      <c r="C7" s="107" t="s">
        <v>64</v>
      </c>
      <c r="D7" s="107"/>
      <c r="E7" s="13" t="s">
        <v>11</v>
      </c>
      <c r="F7" s="13" t="s">
        <v>12</v>
      </c>
      <c r="G7" s="13" t="s">
        <v>55</v>
      </c>
      <c r="H7" s="13" t="s">
        <v>15</v>
      </c>
      <c r="I7" s="13" t="s">
        <v>16</v>
      </c>
      <c r="J7" s="13" t="s">
        <v>17</v>
      </c>
    </row>
    <row r="8" spans="1:10" x14ac:dyDescent="0.25">
      <c r="A8" s="1"/>
      <c r="B8" s="1">
        <v>1</v>
      </c>
      <c r="C8" s="111"/>
      <c r="D8" s="113"/>
      <c r="E8" s="1"/>
      <c r="F8" s="1"/>
      <c r="G8" s="1"/>
      <c r="H8" s="1"/>
      <c r="I8" s="1"/>
      <c r="J8" s="1"/>
    </row>
    <row r="9" spans="1:10" x14ac:dyDescent="0.25">
      <c r="A9" s="1"/>
      <c r="B9" s="1">
        <v>2</v>
      </c>
      <c r="C9" s="111"/>
      <c r="D9" s="113"/>
      <c r="E9" s="1"/>
      <c r="F9" s="1"/>
      <c r="G9" s="1"/>
      <c r="H9" s="1"/>
      <c r="I9" s="1"/>
      <c r="J9" s="1"/>
    </row>
    <row r="10" spans="1:10" x14ac:dyDescent="0.25">
      <c r="A10" s="1"/>
      <c r="B10" s="1">
        <v>3</v>
      </c>
      <c r="C10" s="111"/>
      <c r="D10" s="113"/>
      <c r="E10" s="1"/>
      <c r="F10" s="1"/>
      <c r="G10" s="1"/>
      <c r="H10" s="1"/>
      <c r="I10" s="1"/>
      <c r="J10" s="1"/>
    </row>
    <row r="11" spans="1:10" x14ac:dyDescent="0.25">
      <c r="A11" s="1"/>
      <c r="B11" s="1">
        <v>4</v>
      </c>
      <c r="C11" s="111"/>
      <c r="D11" s="113"/>
      <c r="E11" s="1"/>
      <c r="F11" s="1"/>
      <c r="G11" s="1"/>
      <c r="H11" s="1"/>
      <c r="I11" s="1"/>
      <c r="J11" s="1"/>
    </row>
    <row r="12" spans="1:10" x14ac:dyDescent="0.25">
      <c r="A12" s="1"/>
      <c r="B12" s="1">
        <v>5</v>
      </c>
      <c r="C12" s="111"/>
      <c r="D12" s="113"/>
      <c r="E12" s="1"/>
      <c r="F12" s="1"/>
      <c r="G12" s="1"/>
      <c r="H12" s="1"/>
      <c r="I12" s="1"/>
      <c r="J12" s="1"/>
    </row>
    <row r="13" spans="1:10" x14ac:dyDescent="0.25">
      <c r="A13" s="1"/>
      <c r="B13" s="1">
        <v>6</v>
      </c>
      <c r="C13" s="111"/>
      <c r="D13" s="113"/>
      <c r="E13" s="1"/>
      <c r="F13" s="1"/>
      <c r="G13" s="1"/>
      <c r="H13" s="1"/>
      <c r="I13" s="1"/>
      <c r="J13" s="1"/>
    </row>
    <row r="14" spans="1:10" x14ac:dyDescent="0.25">
      <c r="A14" s="1"/>
      <c r="B14" s="1">
        <v>7</v>
      </c>
      <c r="C14" s="111"/>
      <c r="D14" s="113"/>
      <c r="E14" s="1"/>
      <c r="F14" s="1"/>
      <c r="G14" s="1"/>
      <c r="H14" s="1"/>
      <c r="I14" s="1"/>
      <c r="J14" s="1"/>
    </row>
    <row r="15" spans="1:10" x14ac:dyDescent="0.25">
      <c r="A15" s="1"/>
      <c r="B15" s="1">
        <v>8</v>
      </c>
      <c r="C15" s="111"/>
      <c r="D15" s="113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11"/>
      <c r="D16" s="113"/>
      <c r="E16" s="1" t="s">
        <v>66</v>
      </c>
      <c r="F16" s="1"/>
      <c r="G16" s="1"/>
      <c r="H16" s="1"/>
      <c r="I16" s="1"/>
      <c r="J16" s="1"/>
    </row>
    <row r="17" spans="1:10" x14ac:dyDescent="0.25">
      <c r="A17" s="1"/>
      <c r="B17" s="111" t="s">
        <v>67</v>
      </c>
      <c r="C17" s="113"/>
      <c r="D17" s="1"/>
      <c r="E17" s="1" t="s">
        <v>68</v>
      </c>
      <c r="F17" s="111"/>
      <c r="G17" s="113"/>
      <c r="H17" s="1" t="s">
        <v>69</v>
      </c>
      <c r="I17" s="111"/>
      <c r="J17" s="113"/>
    </row>
    <row r="18" spans="1:10" x14ac:dyDescent="0.25">
      <c r="A18" s="1"/>
      <c r="B18" s="111"/>
      <c r="C18" s="112"/>
      <c r="D18" s="112"/>
      <c r="E18" s="112"/>
      <c r="F18" s="112"/>
      <c r="G18" s="112"/>
      <c r="H18" s="112"/>
      <c r="I18" s="112"/>
      <c r="J18" s="113"/>
    </row>
    <row r="19" spans="1:10" x14ac:dyDescent="0.25">
      <c r="A19" s="1"/>
      <c r="B19" s="111" t="s">
        <v>56</v>
      </c>
      <c r="C19" s="112"/>
      <c r="D19" s="113"/>
      <c r="E19" s="111"/>
      <c r="F19" s="112"/>
      <c r="G19" s="112"/>
      <c r="H19" s="112"/>
      <c r="I19" s="112"/>
      <c r="J19" s="113"/>
    </row>
    <row r="20" spans="1:10" x14ac:dyDescent="0.25">
      <c r="A20" s="1"/>
      <c r="B20" s="111" t="s">
        <v>45</v>
      </c>
      <c r="C20" s="112"/>
      <c r="D20" s="113"/>
      <c r="E20" s="11"/>
      <c r="F20" s="14"/>
      <c r="G20" s="14"/>
      <c r="H20" s="14"/>
      <c r="I20" s="14"/>
      <c r="J20" s="12"/>
    </row>
    <row r="21" spans="1:10" x14ac:dyDescent="0.25">
      <c r="A21" s="1"/>
      <c r="B21" s="111" t="s">
        <v>21</v>
      </c>
      <c r="C21" s="112"/>
      <c r="D21" s="113"/>
      <c r="E21" s="111"/>
      <c r="F21" s="112"/>
      <c r="G21" s="112"/>
      <c r="H21" s="112"/>
      <c r="I21" s="112"/>
      <c r="J21" s="113"/>
    </row>
    <row r="22" spans="1:10" x14ac:dyDescent="0.25">
      <c r="A22" s="1"/>
      <c r="B22" s="111" t="s">
        <v>20</v>
      </c>
      <c r="C22" s="112"/>
      <c r="D22" s="113"/>
      <c r="E22" s="111"/>
      <c r="F22" s="112"/>
      <c r="G22" s="112"/>
      <c r="H22" s="112"/>
      <c r="I22" s="112"/>
      <c r="J22" s="113"/>
    </row>
    <row r="23" spans="1:10" x14ac:dyDescent="0.25">
      <c r="A23" s="1"/>
      <c r="B23" s="111" t="s">
        <v>70</v>
      </c>
      <c r="C23" s="112"/>
      <c r="D23" s="113"/>
      <c r="E23" s="111"/>
      <c r="F23" s="112"/>
      <c r="G23" s="112"/>
      <c r="H23" s="112"/>
      <c r="I23" s="112"/>
      <c r="J23" s="113"/>
    </row>
    <row r="24" spans="1:10" x14ac:dyDescent="0.25">
      <c r="A24" s="1"/>
      <c r="B24" s="111" t="s">
        <v>71</v>
      </c>
      <c r="C24" s="112"/>
      <c r="D24" s="113"/>
      <c r="E24" s="111"/>
      <c r="F24" s="112"/>
      <c r="G24" s="112"/>
      <c r="H24" s="112"/>
      <c r="I24" s="112"/>
      <c r="J24" s="113"/>
    </row>
    <row r="25" spans="1:10" x14ac:dyDescent="0.25">
      <c r="A25" s="1"/>
    </row>
    <row r="27" spans="1:10" ht="31.5" customHeight="1" x14ac:dyDescent="0.25"/>
    <row r="28" spans="1:10" ht="36" customHeight="1" x14ac:dyDescent="0.25"/>
  </sheetData>
  <mergeCells count="33">
    <mergeCell ref="C14:D14"/>
    <mergeCell ref="E24:J24"/>
    <mergeCell ref="E23:J23"/>
    <mergeCell ref="E19:J19"/>
    <mergeCell ref="B20:D20"/>
    <mergeCell ref="B19:D19"/>
    <mergeCell ref="B21:D21"/>
    <mergeCell ref="B22:D22"/>
    <mergeCell ref="I17:J17"/>
    <mergeCell ref="F17:G17"/>
    <mergeCell ref="E21:J21"/>
    <mergeCell ref="E22:J22"/>
    <mergeCell ref="C7:D7"/>
    <mergeCell ref="B23:D23"/>
    <mergeCell ref="B24:D24"/>
    <mergeCell ref="I5:J5"/>
    <mergeCell ref="F5:G5"/>
    <mergeCell ref="B6:J6"/>
    <mergeCell ref="C8:D8"/>
    <mergeCell ref="C15:D15"/>
    <mergeCell ref="C16:D16"/>
    <mergeCell ref="B17:C17"/>
    <mergeCell ref="B18:J18"/>
    <mergeCell ref="C9:D9"/>
    <mergeCell ref="C10:D10"/>
    <mergeCell ref="C11:D11"/>
    <mergeCell ref="C12:D12"/>
    <mergeCell ref="C13:D13"/>
    <mergeCell ref="B1:J1"/>
    <mergeCell ref="C3:G3"/>
    <mergeCell ref="I3:J3"/>
    <mergeCell ref="B2:J2"/>
    <mergeCell ref="I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Info List</vt:lpstr>
      <vt:lpstr>ENGLISH</vt:lpstr>
      <vt:lpstr>MATHS</vt:lpstr>
      <vt:lpstr>SCIENCE</vt:lpstr>
      <vt:lpstr>SOCIAL</vt:lpstr>
      <vt:lpstr>R.M.E</vt:lpstr>
      <vt:lpstr>COMPUTING</vt:lpstr>
      <vt:lpstr>CAD</vt:lpstr>
      <vt:lpstr>CAREER</vt:lpstr>
      <vt:lpstr>FANTE</vt:lpstr>
      <vt:lpstr>GRADING SYSTEM</vt:lpstr>
      <vt:lpstr>TR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Nii Amu Darko</dc:creator>
  <cp:lastModifiedBy>Samuel Nii Amu Darko</cp:lastModifiedBy>
  <dcterms:created xsi:type="dcterms:W3CDTF">2022-01-11T17:04:04Z</dcterms:created>
  <dcterms:modified xsi:type="dcterms:W3CDTF">2025-12-08T15:24:02Z</dcterms:modified>
</cp:coreProperties>
</file>